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documentation\"/>
    </mc:Choice>
  </mc:AlternateContent>
  <bookViews>
    <workbookView minimized="1" xWindow="0" yWindow="0" windowWidth="17256" windowHeight="5844"/>
  </bookViews>
  <sheets>
    <sheet name="P-Raw" sheetId="1" r:id="rId1"/>
    <sheet name="P-Booking" sheetId="3" r:id="rId2"/>
    <sheet name="P-Summary" sheetId="5" r:id="rId3"/>
    <sheet name="R-Raw" sheetId="2" r:id="rId4"/>
    <sheet name="R-Booking" sheetId="6" r:id="rId5"/>
    <sheet name="R-Summary" sheetId="7" r:id="rId6"/>
    <sheet name="P-R-Schedule" sheetId="4" r:id="rId7"/>
    <sheet name="Total-Revenue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8" l="1"/>
  <c r="L11" i="7"/>
  <c r="E19" i="8"/>
  <c r="F16" i="8"/>
  <c r="K10" i="7" l="1"/>
  <c r="L10" i="7" s="1"/>
  <c r="I10" i="7"/>
  <c r="K9" i="7"/>
  <c r="L9" i="7" s="1"/>
  <c r="I9" i="7"/>
  <c r="K8" i="7"/>
  <c r="L8" i="7" s="1"/>
  <c r="I8" i="7"/>
  <c r="K7" i="7"/>
  <c r="L7" i="7" s="1"/>
  <c r="I7" i="7"/>
  <c r="K6" i="7"/>
  <c r="L6" i="7" s="1"/>
  <c r="I6" i="7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N8" i="2"/>
  <c r="N9" i="2" l="1"/>
  <c r="N7" i="2"/>
  <c r="N6" i="2"/>
  <c r="N5" i="2"/>
  <c r="I12" i="5"/>
  <c r="G12" i="5"/>
  <c r="I11" i="5"/>
  <c r="G11" i="5"/>
  <c r="I10" i="5"/>
  <c r="G10" i="5"/>
  <c r="I9" i="5"/>
  <c r="G9" i="5"/>
  <c r="I8" i="5"/>
  <c r="G8" i="5"/>
  <c r="I7" i="5"/>
  <c r="G7" i="5"/>
  <c r="I22" i="3"/>
  <c r="I21" i="3"/>
  <c r="I19" i="3"/>
  <c r="I17" i="3"/>
  <c r="I16" i="3"/>
  <c r="I15" i="3"/>
  <c r="I14" i="3"/>
  <c r="I13" i="5" l="1"/>
</calcChain>
</file>

<file path=xl/sharedStrings.xml><?xml version="1.0" encoding="utf-8"?>
<sst xmlns="http://schemas.openxmlformats.org/spreadsheetml/2006/main" count="331" uniqueCount="141">
  <si>
    <t>PACKAGES MASTER TABLE</t>
  </si>
  <si>
    <t>Package ID</t>
  </si>
  <si>
    <t>Package Name</t>
  </si>
  <si>
    <t>Category</t>
  </si>
  <si>
    <t>Nights</t>
  </si>
  <si>
    <t>P001</t>
  </si>
  <si>
    <t>P002</t>
  </si>
  <si>
    <t>P003</t>
  </si>
  <si>
    <t>P004</t>
  </si>
  <si>
    <t>P005</t>
  </si>
  <si>
    <t>P006</t>
  </si>
  <si>
    <t>Magic in the Skies-HoneyMoon Retreat</t>
  </si>
  <si>
    <t>Golden Dawn Luxury Couples Escape</t>
  </si>
  <si>
    <t>Adventure Discovery – Family</t>
  </si>
  <si>
    <t>Ride &amp; Rise Combo – Adventure</t>
  </si>
  <si>
    <t>Squad Goals Adventure Trip</t>
  </si>
  <si>
    <t>Cappadocia Relaxation &amp; Wellness Retreat</t>
  </si>
  <si>
    <t>Couple</t>
  </si>
  <si>
    <t>Family</t>
  </si>
  <si>
    <t>Adventure</t>
  </si>
  <si>
    <t>Friends</t>
  </si>
  <si>
    <t>Wellness</t>
  </si>
  <si>
    <t>Activities</t>
  </si>
  <si>
    <t>Luxury Cave Villa, Private Jacuzzi &amp; Rose Decor, Luxury Spa, Photoshoot</t>
  </si>
  <si>
    <t>Cave Suite, Sword Valley Hike, Horse Safari, ATV Sunset Ride, Turkish Cultural Night, Pottery Workshop</t>
  </si>
  <si>
    <t>Standard Cave Room, Göreme Town Tour, Jeep Safari, Paragliding, Horse Riding, Sunset Hot Air Balloon</t>
  </si>
  <si>
    <t>Cave Suite, Jeep Safari, BBQ Night, Sunrise Viewpoint, Photo Spots Tour</t>
  </si>
  <si>
    <t>Premium Cave Suite, Cave Spa Hotel, Turkish Hammam, Yoga &amp; Meditation, Relaxation Valley Tour</t>
  </si>
  <si>
    <t>Booking ID</t>
  </si>
  <si>
    <t>Packages ID</t>
  </si>
  <si>
    <t>Total Bookings</t>
  </si>
  <si>
    <t>Persons</t>
  </si>
  <si>
    <t>Payment Status</t>
  </si>
  <si>
    <t>Duration</t>
  </si>
  <si>
    <t>3 Days/2 Nights</t>
  </si>
  <si>
    <t>5 Days/4 Nights</t>
  </si>
  <si>
    <t>2 Days/1 Nights</t>
  </si>
  <si>
    <t>4 Days/3 Nights</t>
  </si>
  <si>
    <t>Pricing Type</t>
  </si>
  <si>
    <t>Fixed Per Package</t>
  </si>
  <si>
    <t>Per Person</t>
  </si>
  <si>
    <t>Package Type</t>
  </si>
  <si>
    <t>couple</t>
  </si>
  <si>
    <t xml:space="preserve"> $Total Cost</t>
  </si>
  <si>
    <t xml:space="preserve"> $Price per Person</t>
  </si>
  <si>
    <t>PACKAGES BOOKING TABLE</t>
  </si>
  <si>
    <t>ROOM'S TABLE</t>
  </si>
  <si>
    <t>Room ID</t>
  </si>
  <si>
    <t>Room Name</t>
  </si>
  <si>
    <t>Total Rooms</t>
  </si>
  <si>
    <t>Notes</t>
  </si>
  <si>
    <t>R001</t>
  </si>
  <si>
    <t>R002</t>
  </si>
  <si>
    <t>R003</t>
  </si>
  <si>
    <t>R004</t>
  </si>
  <si>
    <t>R005</t>
  </si>
  <si>
    <t>Standard Cave Room</t>
  </si>
  <si>
    <t>Deluxe Cave Room</t>
  </si>
  <si>
    <t>Cave Suite</t>
  </si>
  <si>
    <t>Premium Cave Suite</t>
  </si>
  <si>
    <t>Luxury Cave Villa</t>
  </si>
  <si>
    <t>20–35</t>
  </si>
  <si>
    <t>30–45</t>
  </si>
  <si>
    <t>45–65</t>
  </si>
  <si>
    <t>50–70</t>
  </si>
  <si>
    <t>60–80</t>
  </si>
  <si>
    <t>Size(m²)</t>
  </si>
  <si>
    <t>Fireplace optional</t>
  </si>
  <si>
    <t>Spacious, stone interior</t>
  </si>
  <si>
    <t>Separate living area</t>
  </si>
  <si>
    <t>Panoramic views</t>
  </si>
  <si>
    <t>Private terrace</t>
  </si>
  <si>
    <t>ROOM'S BOOKING TABLE</t>
  </si>
  <si>
    <t>Premium Cave Suite, Hot Air Balloon Ride, Love Valley Hike,  Rooftop Breakfast</t>
  </si>
  <si>
    <t>Golden Dawn Luxury Couple Escape</t>
  </si>
  <si>
    <t>Max Guests</t>
  </si>
  <si>
    <t>Price per Night($)</t>
  </si>
  <si>
    <t>Booked Rooms</t>
  </si>
  <si>
    <t>Available Rooms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</si>
  <si>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</si>
  <si>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</si>
  <si>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</si>
  <si>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</si>
  <si>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</si>
  <si>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</si>
  <si>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</si>
  <si>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</si>
  <si>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</si>
  <si>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</si>
  <si>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</si>
  <si>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</si>
  <si>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</si>
  <si>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SUMMARY TABLE</t>
  </si>
  <si>
    <t>Price per Night</t>
  </si>
  <si>
    <t>Total Nights</t>
  </si>
  <si>
    <t>Price(per person)</t>
  </si>
  <si>
    <t>Persons per Booking</t>
  </si>
  <si>
    <t>o</t>
  </si>
  <si>
    <t>Magic in the Skies-Couple</t>
  </si>
  <si>
    <t>TOTAL</t>
  </si>
  <si>
    <t>TOTAL BOOKED ROOMS = 13</t>
  </si>
  <si>
    <t>TOTAL NIGHTS =38</t>
  </si>
  <si>
    <t xml:space="preserve">Total </t>
  </si>
  <si>
    <t>TOTAL REVENUE= $16910</t>
  </si>
  <si>
    <t>Resource ID</t>
  </si>
  <si>
    <t>ROOMS</t>
  </si>
  <si>
    <t>PACKAGES</t>
  </si>
  <si>
    <t>P001-honeymoon</t>
  </si>
  <si>
    <t>P002-Couple</t>
  </si>
  <si>
    <t>P003-Family</t>
  </si>
  <si>
    <t>P004-Adventure</t>
  </si>
  <si>
    <t>P005-Friends</t>
  </si>
  <si>
    <t>P006-Wellness</t>
  </si>
  <si>
    <t>BP001</t>
  </si>
  <si>
    <t>BP002</t>
  </si>
  <si>
    <t>BP003</t>
  </si>
  <si>
    <t>BP004</t>
  </si>
  <si>
    <t>BP005</t>
  </si>
  <si>
    <t>BP006</t>
  </si>
  <si>
    <t>BP007</t>
  </si>
  <si>
    <t>BP008</t>
  </si>
  <si>
    <t>BP009</t>
  </si>
  <si>
    <t>BP010</t>
  </si>
  <si>
    <t>BP011</t>
  </si>
  <si>
    <t>BP012</t>
  </si>
  <si>
    <t>P-R-BOOKING SCHEDULE</t>
  </si>
  <si>
    <t>YES</t>
  </si>
  <si>
    <t>NO</t>
  </si>
  <si>
    <t>_</t>
  </si>
  <si>
    <t>TOTAL REVENUE</t>
  </si>
  <si>
    <t>ID</t>
  </si>
  <si>
    <t>Package</t>
  </si>
  <si>
    <t>Room</t>
  </si>
  <si>
    <t>Type</t>
  </si>
  <si>
    <t xml:space="preserve"> $ Total Revenue</t>
  </si>
  <si>
    <t>TOTAL ROOMS REVENUE= $11880</t>
  </si>
  <si>
    <t>$ Total Cost</t>
  </si>
  <si>
    <t>$ Total Revenue</t>
  </si>
  <si>
    <t>$ Price /person</t>
  </si>
  <si>
    <t>$ PACKAGES REVENUE</t>
  </si>
  <si>
    <t>$ ROOM'S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</si>
</sst>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0" borderId="0" xfId="0" applyFont="1" applyAlignment="1"/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15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/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'P-Summary'!$F$6</c:f>
              <c:strCache>
                <c:ptCount val="1"/>
                <c:pt idx="0">
                  <c:v>Price(per person)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'P-Summary'!$D$7:$E$12</c:f>
              <c:multiLvlStrCache>
                <c:ptCount val="6"/>
                <c:lvl>
                  <c:pt idx="0">
                    <c:v>Magic in the Skies-Couple</c:v>
                  </c:pt>
                  <c:pt idx="1">
                    <c:v>Golden Dawn Luxury Couple Escape</c:v>
                  </c:pt>
                  <c:pt idx="2">
                    <c:v>Adventure Discovery – Family</c:v>
                  </c:pt>
                  <c:pt idx="3">
                    <c:v>Ride &amp; Rise Combo – Adventure</c:v>
                  </c:pt>
                  <c:pt idx="4">
                    <c:v>Squad Goals Adventure Trip</c:v>
                  </c:pt>
                  <c:pt idx="5">
                    <c:v>Cappadocia Relaxation &amp; Wellness Retreat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</c:lvl>
              </c:multiLvlStrCache>
            </c:multiLvlStrRef>
          </c:cat>
          <c:val>
            <c:numRef>
              <c:f>'P-Summary'!$F$7:$F$12</c:f>
              <c:numCache>
                <c:formatCode>General</c:formatCode>
                <c:ptCount val="6"/>
                <c:pt idx="0">
                  <c:v>800</c:v>
                </c:pt>
                <c:pt idx="1">
                  <c:v>1500</c:v>
                </c:pt>
                <c:pt idx="2">
                  <c:v>550</c:v>
                </c:pt>
                <c:pt idx="3">
                  <c:v>480</c:v>
                </c:pt>
                <c:pt idx="4">
                  <c:v>450</c:v>
                </c:pt>
                <c:pt idx="5">
                  <c:v>990</c:v>
                </c:pt>
              </c:numCache>
            </c:numRef>
          </c:val>
        </c:ser>
        <c:ser>
          <c:idx val="1"/>
          <c:order val="1"/>
          <c:tx>
            <c:strRef>
              <c:f>'P-Summary'!$G$6</c:f>
              <c:strCache>
                <c:ptCount val="1"/>
                <c:pt idx="0">
                  <c:v>Total Bookings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'P-Summary'!$D$7:$E$12</c:f>
              <c:multiLvlStrCache>
                <c:ptCount val="6"/>
                <c:lvl>
                  <c:pt idx="0">
                    <c:v>Magic in the Skies-Couple</c:v>
                  </c:pt>
                  <c:pt idx="1">
                    <c:v>Golden Dawn Luxury Couple Escape</c:v>
                  </c:pt>
                  <c:pt idx="2">
                    <c:v>Adventure Discovery – Family</c:v>
                  </c:pt>
                  <c:pt idx="3">
                    <c:v>Ride &amp; Rise Combo – Adventure</c:v>
                  </c:pt>
                  <c:pt idx="4">
                    <c:v>Squad Goals Adventure Trip</c:v>
                  </c:pt>
                  <c:pt idx="5">
                    <c:v>Cappadocia Relaxation &amp; Wellness Retreat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</c:lvl>
              </c:multiLvlStrCache>
            </c:multiLvlStrRef>
          </c:cat>
          <c:val>
            <c:numRef>
              <c:f>'P-Summary'!$G$7:$G$12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21299352"/>
        <c:axId val="521300920"/>
      </c:barChart>
      <c:catAx>
        <c:axId val="52129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00920"/>
        <c:crosses val="autoZero"/>
        <c:auto val="1"/>
        <c:lblAlgn val="ctr"/>
        <c:lblOffset val="100"/>
        <c:noMultiLvlLbl val="0"/>
      </c:catAx>
      <c:valAx>
        <c:axId val="5213009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2129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3"/>
          <c:order val="3"/>
          <c:tx>
            <c:strRef>
              <c:f>'P-Summary'!$I$6</c:f>
              <c:strCache>
                <c:ptCount val="1"/>
                <c:pt idx="0">
                  <c:v>$ 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'P-Summary'!$D$7:$E$12</c:f>
              <c:multiLvlStrCache>
                <c:ptCount val="6"/>
                <c:lvl>
                  <c:pt idx="0">
                    <c:v>Magic in the Skies-Couple</c:v>
                  </c:pt>
                  <c:pt idx="1">
                    <c:v>Golden Dawn Luxury Couple Escape</c:v>
                  </c:pt>
                  <c:pt idx="2">
                    <c:v>Adventure Discovery – Family</c:v>
                  </c:pt>
                  <c:pt idx="3">
                    <c:v>Ride &amp; Rise Combo – Adventure</c:v>
                  </c:pt>
                  <c:pt idx="4">
                    <c:v>Squad Goals Adventure Trip</c:v>
                  </c:pt>
                  <c:pt idx="5">
                    <c:v>Cappadocia Relaxation &amp; Wellness Retreat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</c:lvl>
              </c:multiLvlStrCache>
            </c:multiLvlStrRef>
          </c:cat>
          <c:val>
            <c:numRef>
              <c:f>'P-Summary'!$I$7:$I$12</c:f>
              <c:numCache>
                <c:formatCode>General</c:formatCode>
                <c:ptCount val="6"/>
                <c:pt idx="0">
                  <c:v>2400</c:v>
                </c:pt>
                <c:pt idx="1">
                  <c:v>3000</c:v>
                </c:pt>
                <c:pt idx="2">
                  <c:v>4400</c:v>
                </c:pt>
                <c:pt idx="3">
                  <c:v>2880</c:v>
                </c:pt>
                <c:pt idx="4">
                  <c:v>2250</c:v>
                </c:pt>
                <c:pt idx="5">
                  <c:v>1980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'P-Summary'!$F$6</c15:sqref>
                        </c15:formulaRef>
                      </c:ext>
                    </c:extLst>
                    <c:strCache>
                      <c:ptCount val="1"/>
                      <c:pt idx="0">
                        <c:v>Price(per person)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'P-Summary'!$D$7:$E$12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Magic in the Skies-Couple</c:v>
                        </c:pt>
                        <c:pt idx="1">
                          <c:v>Golden Dawn Luxury Couple Escape</c:v>
                        </c:pt>
                        <c:pt idx="2">
                          <c:v>Adventure Discovery – Family</c:v>
                        </c:pt>
                        <c:pt idx="3">
                          <c:v>Ride &amp; Rise Combo – Adventure</c:v>
                        </c:pt>
                        <c:pt idx="4">
                          <c:v>Squad Goals Adventure Trip</c:v>
                        </c:pt>
                        <c:pt idx="5">
                          <c:v>Cappadocia Relaxation &amp; Wellness Retreat</c:v>
                        </c:pt>
                      </c:lvl>
                      <c:lvl>
                        <c:pt idx="0">
                          <c:v>P001</c:v>
                        </c:pt>
                        <c:pt idx="1">
                          <c:v>P002</c:v>
                        </c:pt>
                        <c:pt idx="2">
                          <c:v>P003</c:v>
                        </c:pt>
                        <c:pt idx="3">
                          <c:v>P004</c:v>
                        </c:pt>
                        <c:pt idx="4">
                          <c:v>P005</c:v>
                        </c:pt>
                        <c:pt idx="5">
                          <c:v>P006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'P-Summary'!$F$7:$F$12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800</c:v>
                      </c:pt>
                      <c:pt idx="1">
                        <c:v>1500</c:v>
                      </c:pt>
                      <c:pt idx="2">
                        <c:v>550</c:v>
                      </c:pt>
                      <c:pt idx="3">
                        <c:v>480</c:v>
                      </c:pt>
                      <c:pt idx="4">
                        <c:v>450</c:v>
                      </c:pt>
                      <c:pt idx="5">
                        <c:v>990</c:v>
                      </c:pt>
                    </c:numCache>
                  </c:numRef>
                </c:val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'P-Summary'!$G$6</c15:sqref>
                        </c15:formulaRef>
                      </c:ext>
                    </c:extLst>
                    <c:strCache>
                      <c:ptCount val="1"/>
                      <c:pt idx="0">
                        <c:v>Total Bookings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'P-Summary'!$D$7:$E$12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Magic in the Skies-Couple</c:v>
                        </c:pt>
                        <c:pt idx="1">
                          <c:v>Golden Dawn Luxury Couple Escape</c:v>
                        </c:pt>
                        <c:pt idx="2">
                          <c:v>Adventure Discovery – Family</c:v>
                        </c:pt>
                        <c:pt idx="3">
                          <c:v>Ride &amp; Rise Combo – Adventure</c:v>
                        </c:pt>
                        <c:pt idx="4">
                          <c:v>Squad Goals Adventure Trip</c:v>
                        </c:pt>
                        <c:pt idx="5">
                          <c:v>Cappadocia Relaxation &amp; Wellness Retreat</c:v>
                        </c:pt>
                      </c:lvl>
                      <c:lvl>
                        <c:pt idx="0">
                          <c:v>P001</c:v>
                        </c:pt>
                        <c:pt idx="1">
                          <c:v>P002</c:v>
                        </c:pt>
                        <c:pt idx="2">
                          <c:v>P003</c:v>
                        </c:pt>
                        <c:pt idx="3">
                          <c:v>P004</c:v>
                        </c:pt>
                        <c:pt idx="4">
                          <c:v>P005</c:v>
                        </c:pt>
                        <c:pt idx="5">
                          <c:v>P006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'P-Summary'!$G$7:$G$12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2</c:v>
                      </c:pt>
                    </c:numCache>
                  </c:numRef>
                </c:val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'P-Summary'!$H$6</c15:sqref>
                        </c15:formulaRef>
                      </c:ext>
                    </c:extLst>
                    <c:strCache>
                      <c:ptCount val="1"/>
                      <c:pt idx="0">
                        <c:v>Persons per Booking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'P-Summary'!$D$7:$E$12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Magic in the Skies-Couple</c:v>
                        </c:pt>
                        <c:pt idx="1">
                          <c:v>Golden Dawn Luxury Couple Escape</c:v>
                        </c:pt>
                        <c:pt idx="2">
                          <c:v>Adventure Discovery – Family</c:v>
                        </c:pt>
                        <c:pt idx="3">
                          <c:v>Ride &amp; Rise Combo – Adventure</c:v>
                        </c:pt>
                        <c:pt idx="4">
                          <c:v>Squad Goals Adventure Trip</c:v>
                        </c:pt>
                        <c:pt idx="5">
                          <c:v>Cappadocia Relaxation &amp; Wellness Retreat</c:v>
                        </c:pt>
                      </c:lvl>
                      <c:lvl>
                        <c:pt idx="0">
                          <c:v>P001</c:v>
                        </c:pt>
                        <c:pt idx="1">
                          <c:v>P002</c:v>
                        </c:pt>
                        <c:pt idx="2">
                          <c:v>P003</c:v>
                        </c:pt>
                        <c:pt idx="3">
                          <c:v>P004</c:v>
                        </c:pt>
                        <c:pt idx="4">
                          <c:v>P005</c:v>
                        </c:pt>
                        <c:pt idx="5">
                          <c:v>P006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'P-Summary'!$H$7:$H$12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</c:v>
                      </c:pt>
                      <c:pt idx="1">
                        <c:v>1</c:v>
                      </c:pt>
                      <c:pt idx="2">
                        <c:v>4</c:v>
                      </c:pt>
                      <c:pt idx="3">
                        <c:v>3</c:v>
                      </c:pt>
                      <c:pt idx="4">
                        <c:v>5</c:v>
                      </c:pt>
                      <c:pt idx="5">
                        <c:v>1</c:v>
                      </c:pt>
                    </c:numCache>
                  </c:numRef>
                </c:val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ROOM</a:t>
            </a:r>
            <a:r>
              <a:rPr lang="en-US" baseline="0"/>
              <a:t> BOOKING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'R-Summary'!$E$6:$F$6</c:f>
              <c:strCache>
                <c:ptCount val="2"/>
                <c:pt idx="0">
                  <c:v>R001</c:v>
                </c:pt>
                <c:pt idx="1">
                  <c:v>Standard Cave Room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'R-Summary'!$G$5:$L$5</c:f>
              <c:strCache>
                <c:ptCount val="6"/>
                <c:pt idx="0">
                  <c:v>Total Rooms</c:v>
                </c:pt>
                <c:pt idx="1">
                  <c:v>Booked Rooms</c:v>
                </c:pt>
                <c:pt idx="2">
                  <c:v>Available Rooms</c:v>
                </c:pt>
                <c:pt idx="3">
                  <c:v>Price per Night</c:v>
                </c:pt>
                <c:pt idx="4">
                  <c:v>Total Nights</c:v>
                </c:pt>
                <c:pt idx="5">
                  <c:v> $ Total Revenue</c:v>
                </c:pt>
              </c:strCache>
            </c:strRef>
          </c:cat>
          <c:val>
            <c:numRef>
              <c:f>'R-Summary'!$G$6:$L$6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6</c:v>
                </c:pt>
                <c:pt idx="3">
                  <c:v>120</c:v>
                </c:pt>
                <c:pt idx="4">
                  <c:v>12</c:v>
                </c:pt>
                <c:pt idx="5">
                  <c:v>1440</c:v>
                </c:pt>
              </c:numCache>
            </c:numRef>
          </c:val>
        </c:ser>
        <c:ser>
          <c:idx val="1"/>
          <c:order val="1"/>
          <c:tx>
            <c:strRef>
              <c:f>'R-Summary'!$E$7:$F$7</c:f>
              <c:strCache>
                <c:ptCount val="2"/>
                <c:pt idx="0">
                  <c:v>R002</c:v>
                </c:pt>
                <c:pt idx="1">
                  <c:v>Deluxe Cave Room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'R-Summary'!$G$5:$L$5</c:f>
              <c:strCache>
                <c:ptCount val="6"/>
                <c:pt idx="0">
                  <c:v>Total Rooms</c:v>
                </c:pt>
                <c:pt idx="1">
                  <c:v>Booked Rooms</c:v>
                </c:pt>
                <c:pt idx="2">
                  <c:v>Available Rooms</c:v>
                </c:pt>
                <c:pt idx="3">
                  <c:v>Price per Night</c:v>
                </c:pt>
                <c:pt idx="4">
                  <c:v>Total Nights</c:v>
                </c:pt>
                <c:pt idx="5">
                  <c:v> $ Total Revenue</c:v>
                </c:pt>
              </c:strCache>
            </c:strRef>
          </c:cat>
          <c:val>
            <c:numRef>
              <c:f>'R-Summary'!$G$7:$L$7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250</c:v>
                </c:pt>
                <c:pt idx="4">
                  <c:v>6</c:v>
                </c:pt>
                <c:pt idx="5">
                  <c:v>1500</c:v>
                </c:pt>
              </c:numCache>
            </c:numRef>
          </c:val>
        </c:ser>
        <c:ser>
          <c:idx val="2"/>
          <c:order val="2"/>
          <c:tx>
            <c:strRef>
              <c:f>'R-Summary'!$E$8:$F$8</c:f>
              <c:strCache>
                <c:ptCount val="2"/>
                <c:pt idx="0">
                  <c:v>R003</c:v>
                </c:pt>
                <c:pt idx="1">
                  <c:v>Cave Suite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'R-Summary'!$G$5:$L$5</c:f>
              <c:strCache>
                <c:ptCount val="6"/>
                <c:pt idx="0">
                  <c:v>Total Rooms</c:v>
                </c:pt>
                <c:pt idx="1">
                  <c:v>Booked Rooms</c:v>
                </c:pt>
                <c:pt idx="2">
                  <c:v>Available Rooms</c:v>
                </c:pt>
                <c:pt idx="3">
                  <c:v>Price per Night</c:v>
                </c:pt>
                <c:pt idx="4">
                  <c:v>Total Nights</c:v>
                </c:pt>
                <c:pt idx="5">
                  <c:v> $ Total Revenue</c:v>
                </c:pt>
              </c:strCache>
            </c:strRef>
          </c:cat>
          <c:val>
            <c:numRef>
              <c:f>'R-Summary'!$G$8:$L$8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370</c:v>
                </c:pt>
                <c:pt idx="4">
                  <c:v>9</c:v>
                </c:pt>
                <c:pt idx="5">
                  <c:v>3330</c:v>
                </c:pt>
              </c:numCache>
            </c:numRef>
          </c:val>
        </c:ser>
        <c:ser>
          <c:idx val="3"/>
          <c:order val="3"/>
          <c:tx>
            <c:strRef>
              <c:f>'R-Summary'!$E$9:$F$9</c:f>
              <c:strCache>
                <c:ptCount val="2"/>
                <c:pt idx="0">
                  <c:v>R004</c:v>
                </c:pt>
                <c:pt idx="1">
                  <c:v>Premium Cave Suite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'R-Summary'!$G$5:$L$5</c:f>
              <c:strCache>
                <c:ptCount val="6"/>
                <c:pt idx="0">
                  <c:v>Total Rooms</c:v>
                </c:pt>
                <c:pt idx="1">
                  <c:v>Booked Rooms</c:v>
                </c:pt>
                <c:pt idx="2">
                  <c:v>Available Rooms</c:v>
                </c:pt>
                <c:pt idx="3">
                  <c:v>Price per Night</c:v>
                </c:pt>
                <c:pt idx="4">
                  <c:v>Total Nights</c:v>
                </c:pt>
                <c:pt idx="5">
                  <c:v> $ Total Revenue</c:v>
                </c:pt>
              </c:strCache>
            </c:strRef>
          </c:cat>
          <c:val>
            <c:numRef>
              <c:f>'R-Summary'!$G$9:$L$9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450</c:v>
                </c:pt>
                <c:pt idx="4">
                  <c:v>5</c:v>
                </c:pt>
                <c:pt idx="5">
                  <c:v>2250</c:v>
                </c:pt>
              </c:numCache>
            </c:numRef>
          </c:val>
        </c:ser>
        <c:ser>
          <c:idx val="4"/>
          <c:order val="4"/>
          <c:tx>
            <c:strRef>
              <c:f>'R-Summary'!$E$10:$F$10</c:f>
              <c:strCache>
                <c:ptCount val="2"/>
                <c:pt idx="0">
                  <c:v>R005</c:v>
                </c:pt>
                <c:pt idx="1">
                  <c:v>Luxury Cave Villa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'R-Summary'!$G$5:$L$5</c:f>
              <c:strCache>
                <c:ptCount val="6"/>
                <c:pt idx="0">
                  <c:v>Total Rooms</c:v>
                </c:pt>
                <c:pt idx="1">
                  <c:v>Booked Rooms</c:v>
                </c:pt>
                <c:pt idx="2">
                  <c:v>Available Rooms</c:v>
                </c:pt>
                <c:pt idx="3">
                  <c:v>Price per Night</c:v>
                </c:pt>
                <c:pt idx="4">
                  <c:v>Total Nights</c:v>
                </c:pt>
                <c:pt idx="5">
                  <c:v> $ Total Revenue</c:v>
                </c:pt>
              </c:strCache>
            </c:strRef>
          </c:cat>
          <c:val>
            <c:numRef>
              <c:f>'R-Summary'!$G$10:$L$10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560</c:v>
                </c:pt>
                <c:pt idx="4">
                  <c:v>6</c:v>
                </c:pt>
                <c:pt idx="5">
                  <c:v>3360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21298960"/>
        <c:axId val="521299744"/>
      </c:barChart>
      <c:catAx>
        <c:axId val="52129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299744"/>
        <c:crosses val="autoZero"/>
        <c:auto val="1"/>
        <c:lblAlgn val="ctr"/>
        <c:lblOffset val="100"/>
        <c:noMultiLvlLbl val="0"/>
      </c:catAx>
      <c:valAx>
        <c:axId val="5212997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5212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PACKAGES</a:t>
            </a:r>
            <a:r>
              <a:rPr lang="en-US" baseline="0"/>
              <a:t> &amp; ROOM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'Total-Revenue'!$D$18:$D$19</c:f>
              <c:strCache>
                <c:ptCount val="2"/>
                <c:pt idx="0">
                  <c:v>$ PACKAGES REVENUE</c:v>
                </c:pt>
                <c:pt idx="1">
                  <c:v>$ ROOM'S REVENUE</c:v>
                </c:pt>
              </c:strCache>
            </c:strRef>
          </c:cat>
          <c:val>
            <c:numRef>
              <c:f>'Total-Revenue'!$E$18:$E$19</c:f>
              <c:numCache>
                <c:formatCode>General</c:formatCode>
                <c:ptCount val="2"/>
                <c:pt idx="0">
                  <c:v>16910</c:v>
                </c:pt>
                <c:pt idx="1">
                  <c:v>11880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518160</xdr:colOff>
      <xdr:row>4</xdr:row>
      <xdr:rowOff>167640</xdr:rowOff>
    </xdr:from>
    <xdr:to>
      <xdr:col>17</xdr:col>
      <xdr:colOff>281940</xdr:colOff>
      <xdr:row>9</xdr:row>
      <xdr:rowOff>541020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586740</xdr:colOff>
      <xdr:row>10</xdr:row>
      <xdr:rowOff>99060</xdr:rowOff>
    </xdr:from>
    <xdr:to>
      <xdr:col>17</xdr:col>
      <xdr:colOff>281940</xdr:colOff>
      <xdr:row>20</xdr:row>
      <xdr:rowOff>30480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449580</xdr:colOff>
      <xdr:row>2</xdr:row>
      <xdr:rowOff>167640</xdr:rowOff>
    </xdr:from>
    <xdr:to>
      <xdr:col>20</xdr:col>
      <xdr:colOff>144780</xdr:colOff>
      <xdr:row>12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2</xdr:row>
      <xdr:rowOff>335280</xdr:rowOff>
    </xdr:from>
    <xdr:to>
      <xdr:col>13</xdr:col>
      <xdr:colOff>289560</xdr:colOff>
      <xdr:row>15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O44"/>
  <sheetViews>
    <sheetView tabSelected="1" zoomScale="91" zoomScaleNormal="115" workbookViewId="0">
      <selection activeCell="J3" sqref="J3"/>
    </sheetView>
  </sheetViews>
  <sheetFormatPr defaultRowHeight="14.4" x14ac:dyDescent="0.3"/>
  <cols>
    <col min="4" max="4" width="4.33203125" customWidth="1"/>
    <col min="5" max="5" width="13.109375" customWidth="1"/>
    <col min="6" max="6" width="15.21875" customWidth="1"/>
    <col min="7" max="7" width="13.5546875" customWidth="1"/>
    <col min="8" max="8" width="14.5546875" customWidth="1"/>
    <col min="9" max="9" width="14.77734375" customWidth="1"/>
    <col min="10" max="10" width="15.21875" customWidth="1"/>
    <col min="11" max="11" width="20.77734375" customWidth="1"/>
    <col min="12" max="12" width="12.77734375" customWidth="1"/>
    <col min="13" max="13" width="14.21875" customWidth="1"/>
    <col min="14" max="14" width="21.88671875" customWidth="1"/>
  </cols>
  <sheetData>
    <row r="2" spans="5:14" ht="22.2" customHeight="1" x14ac:dyDescent="0.3">
      <c r="F2" s="1"/>
      <c r="G2" s="23" t="s">
        <v>0</v>
      </c>
      <c r="H2" s="24"/>
      <c r="I2" s="24"/>
      <c r="J2" s="2"/>
    </row>
    <row r="3" spans="5:14" ht="30.6" customHeight="1" x14ac:dyDescent="0.3">
      <c r="E3" s="5" t="s">
        <v>29</v>
      </c>
      <c r="F3" s="4" t="s">
        <v>2</v>
      </c>
      <c r="G3" s="4" t="s">
        <v>3</v>
      </c>
      <c r="H3" s="4" t="s">
        <v>33</v>
      </c>
      <c r="I3" s="4" t="s">
        <v>38</v>
      </c>
      <c r="J3" s="4" t="s">
        <v>138</v>
      </c>
      <c r="K3" s="4" t="s">
        <v>22</v>
      </c>
      <c r="L3" s="5"/>
      <c r="M3" s="6"/>
      <c r="N3" s="6"/>
    </row>
    <row r="4" spans="5:14" ht="102" customHeight="1" x14ac:dyDescent="0.3">
      <c r="E4" s="8" t="s">
        <v>5</v>
      </c>
      <c r="F4" s="8" t="s">
        <v>11</v>
      </c>
      <c r="G4" s="8" t="s">
        <v>17</v>
      </c>
      <c r="H4" s="8" t="s">
        <v>34</v>
      </c>
      <c r="I4" s="8" t="s">
        <v>39</v>
      </c>
      <c r="J4" s="7">
        <v>800</v>
      </c>
      <c r="K4" s="9" t="s">
        <v>73</v>
      </c>
      <c r="L4" s="10"/>
      <c r="M4" s="6"/>
      <c r="N4" s="6"/>
    </row>
    <row r="5" spans="5:14" ht="91.2" customHeight="1" x14ac:dyDescent="0.3">
      <c r="E5" s="8" t="s">
        <v>6</v>
      </c>
      <c r="F5" s="8" t="s">
        <v>12</v>
      </c>
      <c r="G5" s="8" t="s">
        <v>17</v>
      </c>
      <c r="H5" s="8" t="s">
        <v>34</v>
      </c>
      <c r="I5" s="8" t="s">
        <v>39</v>
      </c>
      <c r="J5" s="7">
        <v>1500</v>
      </c>
      <c r="K5" s="9" t="s">
        <v>23</v>
      </c>
      <c r="L5" s="9"/>
      <c r="M5" s="6"/>
      <c r="N5" s="6"/>
    </row>
    <row r="6" spans="5:14" ht="117" customHeight="1" x14ac:dyDescent="0.3">
      <c r="E6" s="8" t="s">
        <v>7</v>
      </c>
      <c r="F6" s="8" t="s">
        <v>13</v>
      </c>
      <c r="G6" s="8" t="s">
        <v>18</v>
      </c>
      <c r="H6" s="8" t="s">
        <v>35</v>
      </c>
      <c r="I6" s="8" t="s">
        <v>40</v>
      </c>
      <c r="J6" s="7">
        <v>550</v>
      </c>
      <c r="K6" s="9" t="s">
        <v>24</v>
      </c>
      <c r="L6" s="10"/>
      <c r="M6" s="6"/>
      <c r="N6" s="11"/>
    </row>
    <row r="7" spans="5:14" ht="117" customHeight="1" x14ac:dyDescent="0.3">
      <c r="E7" s="8" t="s">
        <v>8</v>
      </c>
      <c r="F7" s="8" t="s">
        <v>14</v>
      </c>
      <c r="G7" s="8" t="s">
        <v>19</v>
      </c>
      <c r="H7" s="8" t="s">
        <v>36</v>
      </c>
      <c r="I7" s="8" t="s">
        <v>40</v>
      </c>
      <c r="J7" s="7">
        <v>480</v>
      </c>
      <c r="K7" s="9" t="s">
        <v>25</v>
      </c>
      <c r="L7" s="10"/>
      <c r="M7" s="6"/>
      <c r="N7" s="6"/>
    </row>
    <row r="8" spans="5:14" ht="85.2" customHeight="1" x14ac:dyDescent="0.3">
      <c r="E8" s="8" t="s">
        <v>9</v>
      </c>
      <c r="F8" s="8" t="s">
        <v>15</v>
      </c>
      <c r="G8" s="8" t="s">
        <v>20</v>
      </c>
      <c r="H8" s="8" t="s">
        <v>34</v>
      </c>
      <c r="I8" s="8" t="s">
        <v>40</v>
      </c>
      <c r="J8" s="7">
        <v>450</v>
      </c>
      <c r="K8" s="9" t="s">
        <v>26</v>
      </c>
      <c r="L8" s="10"/>
      <c r="M8" s="6"/>
      <c r="N8" s="6"/>
    </row>
    <row r="9" spans="5:14" ht="113.4" customHeight="1" x14ac:dyDescent="0.3">
      <c r="E9" s="8" t="s">
        <v>10</v>
      </c>
      <c r="F9" s="8" t="s">
        <v>16</v>
      </c>
      <c r="G9" s="8" t="s">
        <v>21</v>
      </c>
      <c r="H9" s="8" t="s">
        <v>37</v>
      </c>
      <c r="I9" s="8" t="s">
        <v>40</v>
      </c>
      <c r="J9" s="7">
        <v>990</v>
      </c>
      <c r="K9" s="9" t="s">
        <v>27</v>
      </c>
      <c r="L9" s="10"/>
      <c r="M9" s="6"/>
      <c r="N9" s="6"/>
    </row>
    <row r="10" spans="5:14" ht="15.6" x14ac:dyDescent="0.3"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5:14" ht="15.6" x14ac:dyDescent="0.3"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5:14" ht="25.8" customHeight="1" x14ac:dyDescent="0.3"/>
    <row r="13" spans="5:14" ht="40.200000000000003" customHeight="1" x14ac:dyDescent="0.3"/>
    <row r="14" spans="5:14" ht="66" customHeight="1" x14ac:dyDescent="0.3"/>
    <row r="15" spans="5:14" ht="66" customHeight="1" x14ac:dyDescent="0.3"/>
    <row r="16" spans="5:14" ht="67.2" customHeight="1" x14ac:dyDescent="0.3"/>
    <row r="17" spans="5:15" ht="61.8" customHeight="1" x14ac:dyDescent="0.3"/>
    <row r="18" spans="5:15" ht="63" customHeight="1" x14ac:dyDescent="0.3"/>
    <row r="19" spans="5:15" ht="61.8" customHeight="1" x14ac:dyDescent="0.3"/>
    <row r="20" spans="5:15" ht="62.4" customHeight="1" x14ac:dyDescent="0.3"/>
    <row r="21" spans="5:15" ht="67.2" customHeight="1" x14ac:dyDescent="0.3"/>
    <row r="22" spans="5:15" ht="70.2" customHeight="1" x14ac:dyDescent="0.3"/>
    <row r="23" spans="5:15" ht="78" customHeight="1" x14ac:dyDescent="0.3"/>
    <row r="24" spans="5:15" ht="66.599999999999994" customHeight="1" x14ac:dyDescent="0.3"/>
    <row r="25" spans="5:15" ht="66.599999999999994" customHeight="1" x14ac:dyDescent="0.3"/>
    <row r="26" spans="5:15" ht="15.6" x14ac:dyDescent="0.3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5:15" ht="15.6" x14ac:dyDescent="0.3"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5:15" ht="21" customHeight="1" x14ac:dyDescent="0.3">
      <c r="E28" s="6"/>
    </row>
    <row r="30" spans="5:15" ht="60" customHeight="1" x14ac:dyDescent="0.3">
      <c r="O30" s="7"/>
    </row>
    <row r="31" spans="5:15" ht="25.8" customHeight="1" x14ac:dyDescent="0.3">
      <c r="O31" s="7"/>
    </row>
    <row r="32" spans="5:15" ht="28.8" customHeight="1" x14ac:dyDescent="0.3">
      <c r="E32" s="3"/>
      <c r="O32" s="7"/>
    </row>
    <row r="33" spans="15:15" ht="27.6" customHeight="1" x14ac:dyDescent="0.3">
      <c r="O33" s="7"/>
    </row>
    <row r="34" spans="15:15" ht="27.6" customHeight="1" x14ac:dyDescent="0.3">
      <c r="O34" s="7"/>
    </row>
    <row r="37" spans="15:15" ht="25.2" customHeight="1" x14ac:dyDescent="0.3"/>
    <row r="38" spans="15:15" ht="42" customHeight="1" x14ac:dyDescent="0.3"/>
    <row r="39" spans="15:15" ht="41.4" customHeight="1" x14ac:dyDescent="0.3"/>
    <row r="40" spans="15:15" ht="68.400000000000006" customHeight="1" x14ac:dyDescent="0.3"/>
    <row r="41" spans="15:15" ht="55.2" customHeight="1" x14ac:dyDescent="0.3"/>
    <row r="42" spans="15:15" ht="52.8" customHeight="1" x14ac:dyDescent="0.3"/>
    <row r="43" spans="15:15" ht="64.8" customHeight="1" x14ac:dyDescent="0.3"/>
    <row r="44" spans="15:15" ht="48.6" customHeight="1" x14ac:dyDescent="0.3"/>
  </sheetData>
  <mergeCells count="1">
    <mergeCell ref="G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19" workbookViewId="0">
      <selection activeCell="J12" sqref="J12"/>
    </sheetView>
  </sheetViews>
  <sheetFormatPr defaultRowHeight="14.4" x14ac:dyDescent="0.3"/>
  <cols>
    <col min="3" max="3" width="13.6640625" customWidth="1"/>
    <col min="4" max="4" width="13" customWidth="1"/>
    <col min="5" max="5" width="18.109375" customWidth="1"/>
    <col min="6" max="6" width="13" customWidth="1"/>
    <col min="7" max="7" width="12.21875" customWidth="1"/>
    <col min="8" max="8" width="12.88671875" customWidth="1"/>
    <col min="9" max="9" width="13" customWidth="1"/>
    <col min="10" max="10" width="13.109375" customWidth="1"/>
    <col min="11" max="11" width="12.6640625" customWidth="1"/>
    <col min="12" max="12" width="13.109375" customWidth="1"/>
  </cols>
  <sheetData>
    <row r="1" spans="1:12" x14ac:dyDescent="0.3">
      <c r="A1" t="s">
        <v>97</v>
      </c>
    </row>
    <row r="9" spans="1:12" ht="15.6" x14ac:dyDescent="0.3">
      <c r="C9" s="6"/>
      <c r="D9" s="6"/>
      <c r="E9" s="12"/>
      <c r="F9" s="25" t="s">
        <v>45</v>
      </c>
      <c r="G9" s="26"/>
      <c r="H9" s="26"/>
      <c r="I9" s="6"/>
      <c r="J9" s="6"/>
      <c r="K9" s="6"/>
      <c r="L9" s="6"/>
    </row>
    <row r="10" spans="1:12" ht="31.2" x14ac:dyDescent="0.3">
      <c r="C10" s="5" t="s">
        <v>28</v>
      </c>
      <c r="D10" s="5" t="s">
        <v>29</v>
      </c>
      <c r="E10" s="5" t="s">
        <v>2</v>
      </c>
      <c r="F10" s="5" t="s">
        <v>41</v>
      </c>
      <c r="G10" s="5" t="s">
        <v>31</v>
      </c>
      <c r="H10" s="5" t="s">
        <v>44</v>
      </c>
      <c r="I10" s="5" t="s">
        <v>43</v>
      </c>
      <c r="J10" s="5" t="s">
        <v>32</v>
      </c>
      <c r="K10" s="5"/>
      <c r="L10" s="5"/>
    </row>
    <row r="11" spans="1:12" ht="46.8" x14ac:dyDescent="0.3">
      <c r="C11" s="7" t="s">
        <v>113</v>
      </c>
      <c r="D11" s="7" t="s">
        <v>5</v>
      </c>
      <c r="E11" s="8" t="s">
        <v>11</v>
      </c>
      <c r="F11" s="8" t="s">
        <v>17</v>
      </c>
      <c r="G11" s="7">
        <v>2</v>
      </c>
      <c r="H11" s="7" t="s">
        <v>128</v>
      </c>
      <c r="I11" s="7">
        <v>800</v>
      </c>
      <c r="J11" s="10" t="s">
        <v>126</v>
      </c>
      <c r="K11" s="7"/>
      <c r="L11" s="7"/>
    </row>
    <row r="12" spans="1:12" ht="60.6" customHeight="1" x14ac:dyDescent="0.3">
      <c r="C12" s="7" t="s">
        <v>114</v>
      </c>
      <c r="D12" s="7" t="s">
        <v>6</v>
      </c>
      <c r="E12" s="8" t="s">
        <v>12</v>
      </c>
      <c r="F12" s="8" t="s">
        <v>42</v>
      </c>
      <c r="G12" s="7">
        <v>2</v>
      </c>
      <c r="H12" s="7" t="s">
        <v>128</v>
      </c>
      <c r="I12" s="7">
        <v>1500</v>
      </c>
      <c r="J12" s="10" t="s">
        <v>126</v>
      </c>
      <c r="K12" s="7"/>
      <c r="L12" s="7"/>
    </row>
    <row r="13" spans="1:12" ht="93.6" customHeight="1" x14ac:dyDescent="0.3">
      <c r="C13" s="7" t="s">
        <v>115</v>
      </c>
      <c r="D13" s="7" t="s">
        <v>5</v>
      </c>
      <c r="E13" s="8" t="s">
        <v>11</v>
      </c>
      <c r="F13" s="8" t="s">
        <v>17</v>
      </c>
      <c r="G13" s="7">
        <v>2</v>
      </c>
      <c r="H13" s="7" t="s">
        <v>128</v>
      </c>
      <c r="I13" s="7">
        <v>800</v>
      </c>
      <c r="J13" s="10" t="s">
        <v>127</v>
      </c>
      <c r="K13" s="7"/>
      <c r="L13" s="7"/>
    </row>
    <row r="14" spans="1:12" ht="54.6" customHeight="1" x14ac:dyDescent="0.3">
      <c r="C14" s="7" t="s">
        <v>116</v>
      </c>
      <c r="D14" s="7" t="s">
        <v>7</v>
      </c>
      <c r="E14" s="8" t="s">
        <v>13</v>
      </c>
      <c r="F14" s="8" t="s">
        <v>18</v>
      </c>
      <c r="G14" s="7">
        <v>4</v>
      </c>
      <c r="H14" s="7">
        <v>550</v>
      </c>
      <c r="I14" s="7">
        <f>(H14*G14)</f>
        <v>2200</v>
      </c>
      <c r="J14" s="10" t="s">
        <v>126</v>
      </c>
      <c r="K14" s="7"/>
      <c r="L14" s="7"/>
    </row>
    <row r="15" spans="1:12" ht="46.8" x14ac:dyDescent="0.3">
      <c r="C15" s="7" t="s">
        <v>117</v>
      </c>
      <c r="D15" s="7" t="s">
        <v>8</v>
      </c>
      <c r="E15" s="8" t="s">
        <v>14</v>
      </c>
      <c r="F15" s="8" t="s">
        <v>19</v>
      </c>
      <c r="G15" s="7">
        <v>3</v>
      </c>
      <c r="H15" s="7">
        <v>480</v>
      </c>
      <c r="I15" s="7">
        <f t="shared" ref="I15:I22" si="0">(H15*G15)</f>
        <v>1440</v>
      </c>
      <c r="J15" s="10" t="s">
        <v>127</v>
      </c>
      <c r="K15" s="7"/>
      <c r="L15" s="7"/>
    </row>
    <row r="16" spans="1:12" ht="62.4" customHeight="1" x14ac:dyDescent="0.3">
      <c r="C16" s="7" t="s">
        <v>118</v>
      </c>
      <c r="D16" s="7" t="s">
        <v>9</v>
      </c>
      <c r="E16" s="8" t="s">
        <v>15</v>
      </c>
      <c r="F16" s="8" t="s">
        <v>20</v>
      </c>
      <c r="G16" s="7">
        <v>5</v>
      </c>
      <c r="H16" s="7">
        <v>450</v>
      </c>
      <c r="I16" s="7">
        <f t="shared" si="0"/>
        <v>2250</v>
      </c>
      <c r="J16" s="10" t="s">
        <v>126</v>
      </c>
      <c r="K16" s="7"/>
      <c r="L16" s="7"/>
    </row>
    <row r="17" spans="3:12" ht="46.8" x14ac:dyDescent="0.3">
      <c r="C17" s="7" t="s">
        <v>119</v>
      </c>
      <c r="D17" s="7" t="s">
        <v>7</v>
      </c>
      <c r="E17" s="8" t="s">
        <v>13</v>
      </c>
      <c r="F17" s="8" t="s">
        <v>18</v>
      </c>
      <c r="G17" s="7">
        <v>4</v>
      </c>
      <c r="H17" s="7">
        <v>550</v>
      </c>
      <c r="I17" s="7">
        <f t="shared" si="0"/>
        <v>2200</v>
      </c>
      <c r="J17" s="10" t="s">
        <v>126</v>
      </c>
      <c r="K17" s="7"/>
      <c r="L17" s="7"/>
    </row>
    <row r="18" spans="3:12" ht="46.8" x14ac:dyDescent="0.3">
      <c r="C18" s="7" t="s">
        <v>120</v>
      </c>
      <c r="D18" s="7" t="s">
        <v>5</v>
      </c>
      <c r="E18" s="8" t="s">
        <v>11</v>
      </c>
      <c r="F18" s="8" t="s">
        <v>17</v>
      </c>
      <c r="G18" s="7">
        <v>2</v>
      </c>
      <c r="H18" s="7" t="s">
        <v>128</v>
      </c>
      <c r="I18" s="7">
        <v>800</v>
      </c>
      <c r="J18" s="10" t="s">
        <v>127</v>
      </c>
      <c r="K18" s="7"/>
      <c r="L18" s="7"/>
    </row>
    <row r="19" spans="3:12" ht="46.8" x14ac:dyDescent="0.3">
      <c r="C19" s="7" t="s">
        <v>121</v>
      </c>
      <c r="D19" s="7" t="s">
        <v>10</v>
      </c>
      <c r="E19" s="8" t="s">
        <v>16</v>
      </c>
      <c r="F19" s="8" t="s">
        <v>21</v>
      </c>
      <c r="G19" s="7">
        <v>1</v>
      </c>
      <c r="H19" s="7">
        <v>990</v>
      </c>
      <c r="I19" s="7">
        <f t="shared" si="0"/>
        <v>990</v>
      </c>
      <c r="J19" s="10" t="s">
        <v>126</v>
      </c>
      <c r="K19" s="7"/>
      <c r="L19" s="7"/>
    </row>
    <row r="20" spans="3:12" ht="46.8" x14ac:dyDescent="0.3">
      <c r="C20" s="7" t="s">
        <v>122</v>
      </c>
      <c r="D20" s="7" t="s">
        <v>6</v>
      </c>
      <c r="E20" s="8" t="s">
        <v>74</v>
      </c>
      <c r="F20" s="8" t="s">
        <v>17</v>
      </c>
      <c r="G20" s="7">
        <v>2</v>
      </c>
      <c r="H20" s="7" t="s">
        <v>128</v>
      </c>
      <c r="I20" s="7">
        <v>1500</v>
      </c>
      <c r="J20" s="10" t="s">
        <v>126</v>
      </c>
      <c r="K20" s="7"/>
      <c r="L20" s="7"/>
    </row>
    <row r="21" spans="3:12" ht="46.8" x14ac:dyDescent="0.3">
      <c r="C21" s="7" t="s">
        <v>123</v>
      </c>
      <c r="D21" s="7" t="s">
        <v>8</v>
      </c>
      <c r="E21" s="8" t="s">
        <v>14</v>
      </c>
      <c r="F21" s="8" t="s">
        <v>19</v>
      </c>
      <c r="G21" s="7">
        <v>3</v>
      </c>
      <c r="H21" s="7">
        <v>480</v>
      </c>
      <c r="I21" s="7">
        <f t="shared" si="0"/>
        <v>1440</v>
      </c>
      <c r="J21" s="10" t="s">
        <v>126</v>
      </c>
      <c r="K21" s="7"/>
      <c r="L21" s="7"/>
    </row>
    <row r="22" spans="3:12" ht="46.8" x14ac:dyDescent="0.3">
      <c r="C22" s="7" t="s">
        <v>124</v>
      </c>
      <c r="D22" s="7" t="s">
        <v>10</v>
      </c>
      <c r="E22" s="8" t="s">
        <v>16</v>
      </c>
      <c r="F22" s="8" t="s">
        <v>21</v>
      </c>
      <c r="G22" s="7">
        <v>1</v>
      </c>
      <c r="H22" s="7">
        <v>990</v>
      </c>
      <c r="I22" s="7">
        <f t="shared" si="0"/>
        <v>990</v>
      </c>
      <c r="J22" s="10" t="s">
        <v>127</v>
      </c>
      <c r="K22" s="7"/>
      <c r="L22" s="7"/>
    </row>
  </sheetData>
  <mergeCells count="1">
    <mergeCell ref="F9:H9"/>
  </mergeCells>
  <dataValidations count="3">
    <dataValidation allowBlank="1" showInputMessage="1" showErrorMessage="1" promptTitle="YES" prompt="PAID" sqref="J19:J21 J11:J12"/>
    <dataValidation allowBlank="1" showInputMessage="1" showErrorMessage="1" promptTitle="YES" prompt="NO" sqref="J16:J17"/>
    <dataValidation allowBlank="1" showInputMessage="1" showErrorMessage="1" promptTitle="NO" prompt="PENDING" sqref="J13 J15 J18 J22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R14"/>
  <sheetViews>
    <sheetView topLeftCell="A8" workbookViewId="0">
      <selection activeCell="I6" sqref="I6"/>
    </sheetView>
  </sheetViews>
  <sheetFormatPr defaultRowHeight="14.4" x14ac:dyDescent="0.3"/>
  <cols>
    <col min="3" max="3" width="10.109375" customWidth="1"/>
    <col min="4" max="4" width="13.33203125" customWidth="1"/>
    <col min="5" max="5" width="16.6640625" customWidth="1"/>
    <col min="6" max="6" width="13.21875" customWidth="1"/>
    <col min="7" max="7" width="13.109375" customWidth="1"/>
    <col min="8" max="8" width="16.33203125" customWidth="1"/>
    <col min="9" max="9" width="15.5546875" customWidth="1"/>
  </cols>
  <sheetData>
    <row r="4" spans="4:18" ht="15.6" x14ac:dyDescent="0.3">
      <c r="R4" s="4"/>
    </row>
    <row r="5" spans="4:18" ht="15.6" x14ac:dyDescent="0.3">
      <c r="G5" s="25" t="s">
        <v>92</v>
      </c>
      <c r="H5" s="25"/>
      <c r="R5" s="3"/>
    </row>
    <row r="6" spans="4:18" ht="31.2" x14ac:dyDescent="0.3">
      <c r="D6" s="4" t="s">
        <v>1</v>
      </c>
      <c r="E6" s="5" t="s">
        <v>2</v>
      </c>
      <c r="F6" s="5" t="s">
        <v>95</v>
      </c>
      <c r="G6" s="5" t="s">
        <v>30</v>
      </c>
      <c r="H6" s="5" t="s">
        <v>96</v>
      </c>
      <c r="I6" s="4" t="s">
        <v>137</v>
      </c>
      <c r="R6" s="3"/>
    </row>
    <row r="7" spans="4:18" ht="49.2" customHeight="1" x14ac:dyDescent="0.3">
      <c r="D7" s="7" t="s">
        <v>5</v>
      </c>
      <c r="E7" s="8" t="s">
        <v>98</v>
      </c>
      <c r="F7" s="8">
        <v>800</v>
      </c>
      <c r="G7" s="8">
        <f>COUNTIF('P-Booking'!$D$11:$D$22, D7)</f>
        <v>3</v>
      </c>
      <c r="H7" s="14">
        <v>1</v>
      </c>
      <c r="I7" s="3">
        <f t="shared" ref="I7:I12" si="0">(F7*G7*H7)</f>
        <v>2400</v>
      </c>
      <c r="R7" s="3"/>
    </row>
    <row r="8" spans="4:18" ht="46.8" x14ac:dyDescent="0.3">
      <c r="D8" s="7" t="s">
        <v>6</v>
      </c>
      <c r="E8" s="8" t="s">
        <v>74</v>
      </c>
      <c r="F8" s="8">
        <v>1500</v>
      </c>
      <c r="G8" s="8">
        <f>COUNTIF('P-Booking'!$D$11:$D$22, D8)</f>
        <v>2</v>
      </c>
      <c r="H8" s="14">
        <v>1</v>
      </c>
      <c r="I8" s="3">
        <f t="shared" si="0"/>
        <v>3000</v>
      </c>
      <c r="R8" s="3"/>
    </row>
    <row r="9" spans="4:18" ht="46.8" x14ac:dyDescent="0.3">
      <c r="D9" s="7" t="s">
        <v>7</v>
      </c>
      <c r="E9" s="8" t="s">
        <v>13</v>
      </c>
      <c r="F9" s="8">
        <v>550</v>
      </c>
      <c r="G9" s="8">
        <f>COUNTIF('P-Booking'!$D$11:$D$22, D9)</f>
        <v>2</v>
      </c>
      <c r="H9" s="14">
        <v>4</v>
      </c>
      <c r="I9" s="3">
        <f t="shared" si="0"/>
        <v>4400</v>
      </c>
      <c r="R9" s="3"/>
    </row>
    <row r="10" spans="4:18" ht="46.8" x14ac:dyDescent="0.3">
      <c r="D10" s="7" t="s">
        <v>8</v>
      </c>
      <c r="E10" s="8" t="s">
        <v>14</v>
      </c>
      <c r="F10" s="8">
        <v>480</v>
      </c>
      <c r="G10" s="8">
        <f>COUNTIF('P-Booking'!$D$11:$D$22, D10)</f>
        <v>2</v>
      </c>
      <c r="H10" s="14">
        <v>3</v>
      </c>
      <c r="I10" s="3">
        <f t="shared" si="0"/>
        <v>2880</v>
      </c>
      <c r="R10" s="3"/>
    </row>
    <row r="11" spans="4:18" ht="49.2" customHeight="1" x14ac:dyDescent="0.3">
      <c r="D11" s="7" t="s">
        <v>9</v>
      </c>
      <c r="E11" s="8" t="s">
        <v>15</v>
      </c>
      <c r="F11" s="8">
        <v>450</v>
      </c>
      <c r="G11" s="8">
        <f>COUNTIF('P-Booking'!$D$11:$D$23, D11)</f>
        <v>1</v>
      </c>
      <c r="H11" s="14">
        <v>5</v>
      </c>
      <c r="I11" s="3">
        <f t="shared" si="0"/>
        <v>2250</v>
      </c>
    </row>
    <row r="12" spans="4:18" ht="47.4" customHeight="1" x14ac:dyDescent="0.3">
      <c r="D12" s="7" t="s">
        <v>10</v>
      </c>
      <c r="E12" s="8" t="s">
        <v>16</v>
      </c>
      <c r="F12" s="3">
        <v>990</v>
      </c>
      <c r="G12" s="14">
        <f>COUNTIF('P-Booking'!$D$11:$D$22, D12)</f>
        <v>2</v>
      </c>
      <c r="H12" s="14">
        <v>1</v>
      </c>
      <c r="I12" s="3">
        <f t="shared" si="0"/>
        <v>1980</v>
      </c>
    </row>
    <row r="13" spans="4:18" x14ac:dyDescent="0.3">
      <c r="H13" t="s">
        <v>99</v>
      </c>
      <c r="I13" s="3">
        <f>SUM(I7:I12)</f>
        <v>16910</v>
      </c>
    </row>
    <row r="14" spans="4:18" ht="24" customHeight="1" x14ac:dyDescent="0.3">
      <c r="F14" s="27" t="s">
        <v>103</v>
      </c>
      <c r="G14" s="27"/>
      <c r="H14" s="27"/>
    </row>
  </sheetData>
  <mergeCells count="2">
    <mergeCell ref="G5:H5"/>
    <mergeCell ref="F14:H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O41"/>
  <sheetViews>
    <sheetView topLeftCell="F1" zoomScale="103" workbookViewId="0">
      <selection activeCell="M33" sqref="M33"/>
    </sheetView>
  </sheetViews>
  <sheetFormatPr defaultRowHeight="14.4" x14ac:dyDescent="0.3"/>
  <cols>
    <col min="5" max="5" width="10.109375" customWidth="1"/>
    <col min="6" max="6" width="11.88671875" customWidth="1"/>
    <col min="7" max="7" width="12.21875" customWidth="1"/>
    <col min="8" max="8" width="16.88671875" customWidth="1"/>
    <col min="9" max="9" width="11.21875" customWidth="1"/>
    <col min="10" max="10" width="12.109375" customWidth="1"/>
    <col min="11" max="11" width="13" customWidth="1"/>
    <col min="12" max="12" width="17.6640625" customWidth="1"/>
    <col min="13" max="13" width="12.88671875" customWidth="1"/>
    <col min="14" max="14" width="12.33203125" customWidth="1"/>
    <col min="15" max="15" width="18.109375" customWidth="1"/>
  </cols>
  <sheetData>
    <row r="3" spans="7:15" ht="21.6" customHeight="1" x14ac:dyDescent="0.3">
      <c r="G3" s="8"/>
      <c r="H3" s="8"/>
      <c r="I3" s="16"/>
      <c r="J3" s="16"/>
      <c r="K3" s="25" t="s">
        <v>46</v>
      </c>
      <c r="L3" s="25"/>
      <c r="M3" s="16"/>
      <c r="N3" s="8"/>
      <c r="O3" s="8"/>
    </row>
    <row r="4" spans="7:15" ht="31.2" x14ac:dyDescent="0.3">
      <c r="G4" s="5" t="s">
        <v>47</v>
      </c>
      <c r="H4" s="5" t="s">
        <v>48</v>
      </c>
      <c r="I4" s="5" t="s">
        <v>66</v>
      </c>
      <c r="J4" s="5" t="s">
        <v>75</v>
      </c>
      <c r="K4" s="5" t="s">
        <v>76</v>
      </c>
      <c r="L4" s="5" t="s">
        <v>49</v>
      </c>
      <c r="M4" s="5" t="s">
        <v>77</v>
      </c>
      <c r="N4" s="5" t="s">
        <v>78</v>
      </c>
      <c r="O4" s="5" t="s">
        <v>50</v>
      </c>
    </row>
    <row r="5" spans="7:15" ht="28.8" customHeight="1" x14ac:dyDescent="0.3">
      <c r="G5" s="8" t="s">
        <v>51</v>
      </c>
      <c r="H5" s="8" t="s">
        <v>56</v>
      </c>
      <c r="I5" s="8" t="s">
        <v>61</v>
      </c>
      <c r="J5" s="8">
        <v>2</v>
      </c>
      <c r="K5" s="8">
        <v>120</v>
      </c>
      <c r="L5" s="8">
        <v>10</v>
      </c>
      <c r="M5" s="8">
        <v>4</v>
      </c>
      <c r="N5" s="8">
        <f>L5-M5</f>
        <v>6</v>
      </c>
      <c r="O5" s="8" t="s">
        <v>67</v>
      </c>
    </row>
    <row r="6" spans="7:15" ht="28.8" customHeight="1" x14ac:dyDescent="0.3">
      <c r="G6" s="8" t="s">
        <v>52</v>
      </c>
      <c r="H6" s="8" t="s">
        <v>57</v>
      </c>
      <c r="I6" s="8" t="s">
        <v>62</v>
      </c>
      <c r="J6" s="8">
        <v>3</v>
      </c>
      <c r="K6" s="8">
        <v>250</v>
      </c>
      <c r="L6" s="8">
        <v>8</v>
      </c>
      <c r="M6" s="8">
        <v>3</v>
      </c>
      <c r="N6" s="8">
        <f>L6-M6</f>
        <v>5</v>
      </c>
      <c r="O6" s="8" t="s">
        <v>68</v>
      </c>
    </row>
    <row r="7" spans="7:15" ht="33" customHeight="1" x14ac:dyDescent="0.3">
      <c r="G7" s="8" t="s">
        <v>53</v>
      </c>
      <c r="H7" s="8" t="s">
        <v>58</v>
      </c>
      <c r="I7" s="8" t="s">
        <v>63</v>
      </c>
      <c r="J7" s="8">
        <v>4</v>
      </c>
      <c r="K7" s="8">
        <v>370</v>
      </c>
      <c r="L7" s="8">
        <v>5</v>
      </c>
      <c r="M7" s="8">
        <v>3</v>
      </c>
      <c r="N7" s="8">
        <f>L7-M7</f>
        <v>2</v>
      </c>
      <c r="O7" s="8" t="s">
        <v>69</v>
      </c>
    </row>
    <row r="8" spans="7:15" ht="30" customHeight="1" x14ac:dyDescent="0.3">
      <c r="G8" s="8" t="s">
        <v>54</v>
      </c>
      <c r="H8" s="8" t="s">
        <v>59</v>
      </c>
      <c r="I8" s="8" t="s">
        <v>64</v>
      </c>
      <c r="J8" s="8">
        <v>4</v>
      </c>
      <c r="K8" s="8">
        <v>450</v>
      </c>
      <c r="L8" s="8">
        <v>3</v>
      </c>
      <c r="M8" s="8">
        <v>1</v>
      </c>
      <c r="N8" s="8">
        <f>L8-M8</f>
        <v>2</v>
      </c>
      <c r="O8" s="8" t="s">
        <v>70</v>
      </c>
    </row>
    <row r="9" spans="7:15" ht="28.8" customHeight="1" x14ac:dyDescent="0.3">
      <c r="G9" s="8" t="s">
        <v>55</v>
      </c>
      <c r="H9" s="8" t="s">
        <v>60</v>
      </c>
      <c r="I9" s="8" t="s">
        <v>65</v>
      </c>
      <c r="J9" s="8">
        <v>5</v>
      </c>
      <c r="K9" s="8">
        <v>560</v>
      </c>
      <c r="L9" s="8">
        <v>3</v>
      </c>
      <c r="M9" s="8">
        <v>2</v>
      </c>
      <c r="N9" s="8">
        <f>L9-M9</f>
        <v>1</v>
      </c>
      <c r="O9" s="8" t="s">
        <v>71</v>
      </c>
    </row>
    <row r="10" spans="7:15" ht="15.6" x14ac:dyDescent="0.3">
      <c r="G10" s="6"/>
      <c r="H10" s="6"/>
      <c r="I10" s="6"/>
      <c r="J10" s="6"/>
      <c r="K10" s="6"/>
      <c r="L10" s="6"/>
      <c r="M10" s="6"/>
    </row>
    <row r="11" spans="7:15" ht="19.8" customHeight="1" x14ac:dyDescent="0.3"/>
    <row r="13" spans="7:15" ht="28.2" customHeight="1" x14ac:dyDescent="0.3"/>
    <row r="14" spans="7:15" ht="28.8" customHeight="1" x14ac:dyDescent="0.3"/>
    <row r="15" spans="7:15" ht="27" customHeight="1" x14ac:dyDescent="0.3"/>
    <row r="16" spans="7:15" ht="28.2" customHeight="1" x14ac:dyDescent="0.3"/>
    <row r="17" spans="7:14" ht="29.4" customHeight="1" x14ac:dyDescent="0.3"/>
    <row r="18" spans="7:14" ht="28.2" customHeight="1" x14ac:dyDescent="0.3"/>
    <row r="19" spans="7:14" ht="27" customHeight="1" x14ac:dyDescent="0.3"/>
    <row r="20" spans="7:14" ht="28.2" customHeight="1" x14ac:dyDescent="0.3"/>
    <row r="21" spans="7:14" ht="28.8" customHeight="1" x14ac:dyDescent="0.3"/>
    <row r="22" spans="7:14" ht="28.8" customHeight="1" x14ac:dyDescent="0.3"/>
    <row r="23" spans="7:14" ht="36" customHeight="1" x14ac:dyDescent="0.3"/>
    <row r="24" spans="7:14" ht="27.6" customHeight="1" x14ac:dyDescent="0.3"/>
    <row r="25" spans="7:14" ht="37.200000000000003" customHeight="1" x14ac:dyDescent="0.3"/>
    <row r="26" spans="7:14" ht="2.4" customHeight="1" x14ac:dyDescent="0.3"/>
    <row r="27" spans="7:14" ht="13.2" customHeight="1" x14ac:dyDescent="0.3"/>
    <row r="28" spans="7:14" ht="22.2" customHeight="1" x14ac:dyDescent="0.3">
      <c r="J28" s="23"/>
      <c r="K28" s="23"/>
    </row>
    <row r="29" spans="7:14" ht="43.8" customHeight="1" x14ac:dyDescent="0.3">
      <c r="G29" s="5"/>
      <c r="H29" s="5"/>
      <c r="I29" s="5"/>
      <c r="J29" s="5"/>
      <c r="K29" s="5"/>
      <c r="L29" s="5"/>
      <c r="M29" s="5"/>
      <c r="N29" s="5"/>
    </row>
    <row r="30" spans="7:14" ht="28.8" customHeight="1" x14ac:dyDescent="0.3">
      <c r="G30" s="15"/>
      <c r="H30" s="7"/>
      <c r="I30" s="7"/>
      <c r="J30" s="7"/>
      <c r="K30" s="7"/>
      <c r="L30" s="7"/>
      <c r="M30" s="7"/>
      <c r="N30" s="7"/>
    </row>
    <row r="31" spans="7:14" ht="26.4" customHeight="1" x14ac:dyDescent="0.3">
      <c r="G31" s="15"/>
      <c r="H31" s="7"/>
      <c r="I31" s="7"/>
      <c r="J31" s="7"/>
      <c r="K31" s="7"/>
      <c r="L31" s="7"/>
      <c r="M31" s="7"/>
      <c r="N31" s="7"/>
    </row>
    <row r="32" spans="7:14" ht="30" customHeight="1" x14ac:dyDescent="0.3">
      <c r="G32" s="15"/>
      <c r="H32" s="7"/>
      <c r="I32" s="7"/>
      <c r="J32" s="7"/>
      <c r="K32" s="7"/>
      <c r="L32" s="7"/>
      <c r="M32" s="7"/>
      <c r="N32" s="7"/>
    </row>
    <row r="33" spans="7:14" ht="30" customHeight="1" x14ac:dyDescent="0.3">
      <c r="G33" s="15"/>
      <c r="H33" s="7"/>
      <c r="I33" s="7"/>
      <c r="J33" s="7"/>
      <c r="K33" s="7"/>
      <c r="L33" s="7"/>
      <c r="M33" s="7"/>
      <c r="N33" s="7"/>
    </row>
    <row r="35" spans="7:14" ht="21.6" customHeight="1" x14ac:dyDescent="0.3"/>
    <row r="36" spans="7:14" ht="27.6" customHeight="1" x14ac:dyDescent="0.3"/>
    <row r="37" spans="7:14" ht="33" customHeight="1" x14ac:dyDescent="0.3"/>
    <row r="38" spans="7:14" ht="32.4" customHeight="1" x14ac:dyDescent="0.3"/>
    <row r="39" spans="7:14" ht="33" customHeight="1" x14ac:dyDescent="0.3"/>
    <row r="40" spans="7:14" ht="29.4" customHeight="1" x14ac:dyDescent="0.3"/>
    <row r="41" spans="7:14" ht="28.8" customHeight="1" x14ac:dyDescent="0.3"/>
  </sheetData>
  <mergeCells count="2">
    <mergeCell ref="K3:L3"/>
    <mergeCell ref="J28:K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:M20"/>
  <sheetViews>
    <sheetView topLeftCell="D73" workbookViewId="0">
      <selection activeCell="J5" sqref="J5"/>
    </sheetView>
  </sheetViews>
  <sheetFormatPr defaultRowHeight="14.4" x14ac:dyDescent="0.3"/>
  <cols>
    <col min="5" max="5" width="8.88671875" customWidth="1"/>
    <col min="6" max="6" width="10.77734375" customWidth="1"/>
    <col min="7" max="7" width="15.5546875" customWidth="1"/>
    <col min="8" max="8" width="13.6640625" customWidth="1"/>
    <col min="9" max="9" width="14.6640625" customWidth="1"/>
    <col min="10" max="10" width="13.109375" customWidth="1"/>
    <col min="11" max="11" width="13.88671875" customWidth="1"/>
    <col min="12" max="12" width="14.44140625" customWidth="1"/>
    <col min="13" max="13" width="13.5546875" customWidth="1"/>
  </cols>
  <sheetData>
    <row r="4" spans="6:13" ht="15.6" x14ac:dyDescent="0.3">
      <c r="G4" s="6"/>
      <c r="H4" s="6"/>
      <c r="I4" s="23" t="s">
        <v>72</v>
      </c>
      <c r="J4" s="23"/>
      <c r="K4" s="23"/>
      <c r="L4" s="6"/>
      <c r="M4" s="6"/>
    </row>
    <row r="5" spans="6:13" ht="31.2" x14ac:dyDescent="0.3">
      <c r="F5" s="4"/>
      <c r="G5" s="5" t="s">
        <v>28</v>
      </c>
      <c r="H5" s="5" t="s">
        <v>47</v>
      </c>
      <c r="I5" s="13" t="s">
        <v>4</v>
      </c>
      <c r="J5" s="13" t="s">
        <v>136</v>
      </c>
      <c r="K5" s="13" t="s">
        <v>32</v>
      </c>
      <c r="L5" s="5"/>
      <c r="M5" s="5"/>
    </row>
    <row r="6" spans="6:13" ht="36" customHeight="1" x14ac:dyDescent="0.3">
      <c r="F6" s="8"/>
      <c r="G6" s="8" t="s">
        <v>79</v>
      </c>
      <c r="H6" s="8" t="s">
        <v>51</v>
      </c>
      <c r="I6" s="8">
        <v>3</v>
      </c>
      <c r="J6" s="8">
        <f>('R-Raw'!K5*I6)</f>
        <v>360</v>
      </c>
      <c r="K6" s="9" t="s">
        <v>126</v>
      </c>
      <c r="L6" s="8"/>
      <c r="M6" s="8"/>
    </row>
    <row r="7" spans="6:13" ht="30.6" customHeight="1" x14ac:dyDescent="0.3">
      <c r="F7" s="8"/>
      <c r="G7" s="8" t="s">
        <v>80</v>
      </c>
      <c r="H7" s="8" t="s">
        <v>52</v>
      </c>
      <c r="I7" s="8">
        <v>2</v>
      </c>
      <c r="J7" s="8">
        <f>('R-Raw'!K6*I7)</f>
        <v>500</v>
      </c>
      <c r="K7" s="9" t="s">
        <v>126</v>
      </c>
      <c r="L7" s="8"/>
      <c r="M7" s="8"/>
    </row>
    <row r="8" spans="6:13" ht="30" customHeight="1" x14ac:dyDescent="0.3">
      <c r="F8" s="8"/>
      <c r="G8" s="8" t="s">
        <v>81</v>
      </c>
      <c r="H8" s="8" t="s">
        <v>51</v>
      </c>
      <c r="I8" s="8">
        <v>3</v>
      </c>
      <c r="J8" s="8">
        <f>('R-Raw'!K5*I8)</f>
        <v>360</v>
      </c>
      <c r="K8" s="9" t="s">
        <v>127</v>
      </c>
      <c r="L8" s="8"/>
      <c r="M8" s="8"/>
    </row>
    <row r="9" spans="6:13" ht="28.2" customHeight="1" x14ac:dyDescent="0.3">
      <c r="F9" s="8"/>
      <c r="G9" s="8" t="s">
        <v>82</v>
      </c>
      <c r="H9" s="8" t="s">
        <v>54</v>
      </c>
      <c r="I9" s="8">
        <v>5</v>
      </c>
      <c r="J9" s="8">
        <f>('R-Raw'!K8*I9)</f>
        <v>2250</v>
      </c>
      <c r="K9" s="9" t="s">
        <v>126</v>
      </c>
      <c r="L9" s="8"/>
      <c r="M9" s="8"/>
    </row>
    <row r="10" spans="6:13" ht="30.6" customHeight="1" x14ac:dyDescent="0.3">
      <c r="F10" s="8"/>
      <c r="G10" s="8" t="s">
        <v>83</v>
      </c>
      <c r="H10" s="8" t="s">
        <v>53</v>
      </c>
      <c r="I10" s="8">
        <v>3</v>
      </c>
      <c r="J10" s="8">
        <f>('R-Raw'!K7*I10)</f>
        <v>1110</v>
      </c>
      <c r="K10" s="9" t="s">
        <v>126</v>
      </c>
      <c r="L10" s="8"/>
      <c r="M10" s="8"/>
    </row>
    <row r="11" spans="6:13" ht="30.6" customHeight="1" x14ac:dyDescent="0.3">
      <c r="F11" s="8"/>
      <c r="G11" s="8" t="s">
        <v>84</v>
      </c>
      <c r="H11" s="8" t="s">
        <v>52</v>
      </c>
      <c r="I11" s="8">
        <v>2</v>
      </c>
      <c r="J11" s="8">
        <f>('R-Raw'!K6*I11)</f>
        <v>500</v>
      </c>
      <c r="K11" s="9" t="s">
        <v>127</v>
      </c>
      <c r="L11" s="8"/>
      <c r="M11" s="8"/>
    </row>
    <row r="12" spans="6:13" ht="30.6" customHeight="1" x14ac:dyDescent="0.3">
      <c r="F12" s="8"/>
      <c r="G12" s="8" t="s">
        <v>85</v>
      </c>
      <c r="H12" s="8" t="s">
        <v>53</v>
      </c>
      <c r="I12" s="8">
        <v>3</v>
      </c>
      <c r="J12" s="8">
        <f>(I12*'R-Raw'!K7)</f>
        <v>1110</v>
      </c>
      <c r="K12" s="9" t="s">
        <v>127</v>
      </c>
      <c r="L12" s="8"/>
      <c r="M12" s="8"/>
    </row>
    <row r="13" spans="6:13" ht="31.2" customHeight="1" x14ac:dyDescent="0.3">
      <c r="F13" s="8"/>
      <c r="G13" s="8" t="s">
        <v>86</v>
      </c>
      <c r="H13" s="8" t="s">
        <v>55</v>
      </c>
      <c r="I13" s="8">
        <v>3</v>
      </c>
      <c r="J13" s="8">
        <f>(I13*'R-Raw'!K9)</f>
        <v>1680</v>
      </c>
      <c r="K13" s="9" t="s">
        <v>126</v>
      </c>
      <c r="L13" s="8"/>
      <c r="M13" s="8"/>
    </row>
    <row r="14" spans="6:13" ht="31.8" customHeight="1" x14ac:dyDescent="0.3">
      <c r="F14" s="8"/>
      <c r="G14" s="8" t="s">
        <v>87</v>
      </c>
      <c r="H14" s="8" t="s">
        <v>51</v>
      </c>
      <c r="I14" s="8">
        <v>3</v>
      </c>
      <c r="J14" s="8">
        <f>(I14*'R-Raw'!K5)</f>
        <v>360</v>
      </c>
      <c r="K14" s="9" t="s">
        <v>126</v>
      </c>
      <c r="L14" s="8"/>
      <c r="M14" s="8"/>
    </row>
    <row r="15" spans="6:13" ht="30.6" customHeight="1" x14ac:dyDescent="0.3">
      <c r="F15" s="8"/>
      <c r="G15" s="8" t="s">
        <v>88</v>
      </c>
      <c r="H15" s="8" t="s">
        <v>52</v>
      </c>
      <c r="I15" s="8">
        <v>2</v>
      </c>
      <c r="J15" s="8">
        <f>(I15*'R-Raw'!K6)</f>
        <v>500</v>
      </c>
      <c r="K15" s="9" t="s">
        <v>126</v>
      </c>
      <c r="L15" s="8"/>
      <c r="M15" s="8"/>
    </row>
    <row r="16" spans="6:13" ht="30" customHeight="1" x14ac:dyDescent="0.3">
      <c r="G16" s="8" t="s">
        <v>89</v>
      </c>
      <c r="H16" s="8" t="s">
        <v>51</v>
      </c>
      <c r="I16" s="8">
        <v>3</v>
      </c>
      <c r="J16" s="8">
        <f>(I16*'R-Raw'!K5)</f>
        <v>360</v>
      </c>
      <c r="K16" s="9" t="s">
        <v>126</v>
      </c>
      <c r="L16" s="8"/>
      <c r="M16" s="8"/>
    </row>
    <row r="17" spans="7:13" ht="29.4" customHeight="1" x14ac:dyDescent="0.3">
      <c r="G17" s="8" t="s">
        <v>90</v>
      </c>
      <c r="H17" s="8" t="s">
        <v>53</v>
      </c>
      <c r="I17" s="8">
        <v>3</v>
      </c>
      <c r="J17" s="8">
        <f>(I17*'R-Raw'!K7)</f>
        <v>1110</v>
      </c>
      <c r="K17" s="9" t="s">
        <v>126</v>
      </c>
      <c r="L17" s="8"/>
      <c r="M17" s="8"/>
    </row>
    <row r="18" spans="7:13" ht="31.2" customHeight="1" x14ac:dyDescent="0.3">
      <c r="G18" s="8" t="s">
        <v>91</v>
      </c>
      <c r="H18" s="8" t="s">
        <v>55</v>
      </c>
      <c r="I18" s="8">
        <v>3</v>
      </c>
      <c r="J18" s="8">
        <f>(I18*'R-Raw'!K9)</f>
        <v>1680</v>
      </c>
      <c r="K18" s="9" t="s">
        <v>127</v>
      </c>
      <c r="L18" s="14"/>
      <c r="M18" s="8"/>
    </row>
    <row r="19" spans="7:13" ht="15.6" x14ac:dyDescent="0.3">
      <c r="G19" s="8"/>
    </row>
    <row r="20" spans="7:13" ht="15.6" x14ac:dyDescent="0.3">
      <c r="G20" s="8"/>
    </row>
  </sheetData>
  <mergeCells count="1">
    <mergeCell ref="I4:K4"/>
  </mergeCells>
  <dataValidations xWindow="990" yWindow="449" count="3">
    <dataValidation allowBlank="1" showInputMessage="1" showErrorMessage="1" promptTitle="NO" prompt="PENDING" sqref="K8"/>
    <dataValidation allowBlank="1" showInputMessage="1" showErrorMessage="1" promptTitle="YES" prompt="PAID" sqref="K6:K7 K9:K10 K13:K17"/>
    <dataValidation allowBlank="1" showInputMessage="1" showErrorMessage="1" promptTitle="NO" prompt="PENDING" sqref="K11:K12 K18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T20"/>
  <sheetViews>
    <sheetView workbookViewId="0">
      <selection activeCell="G14" sqref="G14:J14"/>
    </sheetView>
  </sheetViews>
  <sheetFormatPr defaultRowHeight="14.4" x14ac:dyDescent="0.3"/>
  <cols>
    <col min="5" max="5" width="9.5546875" customWidth="1"/>
    <col min="6" max="6" width="17.88671875" customWidth="1"/>
    <col min="7" max="7" width="13.109375" customWidth="1"/>
    <col min="8" max="8" width="13.33203125" customWidth="1"/>
    <col min="9" max="9" width="14.88671875" customWidth="1"/>
    <col min="10" max="10" width="13" customWidth="1"/>
    <col min="11" max="11" width="14.21875" customWidth="1"/>
    <col min="12" max="12" width="13.77734375" customWidth="1"/>
  </cols>
  <sheetData>
    <row r="4" spans="5:20" ht="15.6" x14ac:dyDescent="0.3">
      <c r="H4" s="25" t="s">
        <v>92</v>
      </c>
      <c r="I4" s="25"/>
    </row>
    <row r="5" spans="5:20" ht="31.2" x14ac:dyDescent="0.3">
      <c r="E5" s="5" t="s">
        <v>47</v>
      </c>
      <c r="F5" s="5" t="s">
        <v>48</v>
      </c>
      <c r="G5" s="5" t="s">
        <v>49</v>
      </c>
      <c r="H5" s="5" t="s">
        <v>77</v>
      </c>
      <c r="I5" s="5" t="s">
        <v>78</v>
      </c>
      <c r="J5" s="5" t="s">
        <v>93</v>
      </c>
      <c r="K5" s="5" t="s">
        <v>94</v>
      </c>
      <c r="L5" s="5" t="s">
        <v>134</v>
      </c>
    </row>
    <row r="6" spans="5:20" ht="31.2" x14ac:dyDescent="0.3">
      <c r="E6" s="8" t="s">
        <v>51</v>
      </c>
      <c r="F6" s="8" t="s">
        <v>56</v>
      </c>
      <c r="G6" s="8">
        <v>10</v>
      </c>
      <c r="H6" s="8">
        <v>4</v>
      </c>
      <c r="I6" s="8">
        <f>(G6-H6)</f>
        <v>6</v>
      </c>
      <c r="J6" s="8">
        <v>120</v>
      </c>
      <c r="K6" s="8">
        <f>(4*3)</f>
        <v>12</v>
      </c>
      <c r="L6" s="8">
        <f>(J6*K6)</f>
        <v>1440</v>
      </c>
    </row>
    <row r="7" spans="5:20" ht="31.2" x14ac:dyDescent="0.3">
      <c r="E7" s="8" t="s">
        <v>52</v>
      </c>
      <c r="F7" s="8" t="s">
        <v>57</v>
      </c>
      <c r="G7" s="8">
        <v>8</v>
      </c>
      <c r="H7" s="8">
        <v>3</v>
      </c>
      <c r="I7" s="8">
        <f>(G7-H7)</f>
        <v>5</v>
      </c>
      <c r="J7" s="8">
        <v>250</v>
      </c>
      <c r="K7" s="8">
        <f>(3*2)</f>
        <v>6</v>
      </c>
      <c r="L7" s="8">
        <f>(J7*K7)</f>
        <v>1500</v>
      </c>
    </row>
    <row r="8" spans="5:20" ht="15.6" x14ac:dyDescent="0.3">
      <c r="E8" s="8" t="s">
        <v>53</v>
      </c>
      <c r="F8" s="8" t="s">
        <v>58</v>
      </c>
      <c r="G8" s="8">
        <v>5</v>
      </c>
      <c r="H8" s="8">
        <v>3</v>
      </c>
      <c r="I8" s="8">
        <f>(G8-H8)</f>
        <v>2</v>
      </c>
      <c r="J8" s="8">
        <v>370</v>
      </c>
      <c r="K8" s="8">
        <f>(3*3)</f>
        <v>9</v>
      </c>
      <c r="L8" s="8">
        <f>(J8*K8)</f>
        <v>3330</v>
      </c>
    </row>
    <row r="9" spans="5:20" ht="31.2" x14ac:dyDescent="0.3">
      <c r="E9" s="8" t="s">
        <v>54</v>
      </c>
      <c r="F9" s="8" t="s">
        <v>59</v>
      </c>
      <c r="G9" s="8">
        <v>3</v>
      </c>
      <c r="H9" s="8">
        <v>1</v>
      </c>
      <c r="I9" s="8">
        <f>(G9-H9)</f>
        <v>2</v>
      </c>
      <c r="J9" s="8">
        <v>450</v>
      </c>
      <c r="K9" s="8">
        <f>(1*5)</f>
        <v>5</v>
      </c>
      <c r="L9" s="8">
        <f>(J9*K9)</f>
        <v>2250</v>
      </c>
    </row>
    <row r="10" spans="5:20" ht="15.6" x14ac:dyDescent="0.3">
      <c r="E10" s="8" t="s">
        <v>55</v>
      </c>
      <c r="F10" s="8" t="s">
        <v>60</v>
      </c>
      <c r="G10" s="8">
        <v>3</v>
      </c>
      <c r="H10" s="8">
        <v>2</v>
      </c>
      <c r="I10" s="8">
        <f>(G10-H10)</f>
        <v>1</v>
      </c>
      <c r="J10" s="8">
        <v>560</v>
      </c>
      <c r="K10" s="8">
        <f>(3*2)</f>
        <v>6</v>
      </c>
      <c r="L10" s="8">
        <f>(J10*K10)</f>
        <v>3360</v>
      </c>
    </row>
    <row r="11" spans="5:20" ht="15.6" x14ac:dyDescent="0.3">
      <c r="E11" s="8"/>
      <c r="J11" s="17"/>
      <c r="K11" s="18" t="s">
        <v>102</v>
      </c>
      <c r="L11" s="5">
        <f>SUM(L6:L10)</f>
        <v>11880</v>
      </c>
    </row>
    <row r="12" spans="5:20" ht="15.6" x14ac:dyDescent="0.3">
      <c r="F12" s="8"/>
      <c r="G12" s="28" t="s">
        <v>100</v>
      </c>
      <c r="H12" s="28"/>
      <c r="I12" s="28"/>
      <c r="J12" s="28"/>
    </row>
    <row r="13" spans="5:20" ht="15.6" x14ac:dyDescent="0.3">
      <c r="G13" s="28" t="s">
        <v>101</v>
      </c>
      <c r="H13" s="28"/>
      <c r="I13" s="28"/>
      <c r="J13" s="28"/>
    </row>
    <row r="14" spans="5:20" ht="15.6" x14ac:dyDescent="0.3">
      <c r="G14" s="28" t="s">
        <v>135</v>
      </c>
      <c r="H14" s="28"/>
      <c r="I14" s="28"/>
      <c r="J14" s="28"/>
    </row>
    <row r="15" spans="5:20" ht="15.6" x14ac:dyDescent="0.3">
      <c r="M15" s="5"/>
      <c r="N15" s="5"/>
      <c r="O15" s="5"/>
      <c r="P15" s="5"/>
      <c r="Q15" s="5"/>
      <c r="R15" s="5"/>
      <c r="S15" s="5"/>
      <c r="T15" s="5"/>
    </row>
    <row r="16" spans="5:20" ht="15.6" x14ac:dyDescent="0.3">
      <c r="M16" s="8"/>
      <c r="N16" s="8"/>
      <c r="O16" s="8"/>
      <c r="P16" s="8"/>
      <c r="Q16" s="8"/>
      <c r="R16" s="8"/>
      <c r="S16" s="8"/>
      <c r="T16" s="8"/>
    </row>
    <row r="17" spans="13:20" ht="15.6" x14ac:dyDescent="0.3">
      <c r="M17" s="8"/>
      <c r="N17" s="8"/>
      <c r="O17" s="8"/>
      <c r="P17" s="8"/>
      <c r="Q17" s="8"/>
      <c r="R17" s="8"/>
      <c r="S17" s="8"/>
      <c r="T17" s="8"/>
    </row>
    <row r="18" spans="13:20" ht="15.6" x14ac:dyDescent="0.3">
      <c r="M18" s="8"/>
      <c r="N18" s="8"/>
      <c r="O18" s="8"/>
      <c r="P18" s="8"/>
      <c r="Q18" s="8"/>
      <c r="R18" s="8"/>
      <c r="S18" s="8"/>
      <c r="T18" s="8"/>
    </row>
    <row r="19" spans="13:20" ht="15.6" x14ac:dyDescent="0.3">
      <c r="M19" s="8"/>
      <c r="N19" s="8"/>
      <c r="O19" s="8"/>
      <c r="P19" s="8"/>
      <c r="Q19" s="8"/>
      <c r="R19" s="8"/>
      <c r="S19" s="8"/>
      <c r="T19" s="8"/>
    </row>
    <row r="20" spans="13:20" ht="15.6" x14ac:dyDescent="0.3">
      <c r="M20" s="8"/>
      <c r="N20" s="8"/>
      <c r="O20" s="8"/>
      <c r="P20" s="8"/>
      <c r="Q20" s="8"/>
      <c r="R20" s="8"/>
      <c r="S20" s="8"/>
      <c r="T20" s="8"/>
    </row>
  </sheetData>
  <mergeCells count="4">
    <mergeCell ref="H4:I4"/>
    <mergeCell ref="G12:J12"/>
    <mergeCell ref="G13:J13"/>
    <mergeCell ref="G14:J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O20"/>
  <sheetViews>
    <sheetView topLeftCell="C1" workbookViewId="0">
      <selection activeCell="G25" sqref="G25"/>
    </sheetView>
  </sheetViews>
  <sheetFormatPr defaultRowHeight="14.4" x14ac:dyDescent="0.3"/>
  <cols>
    <col min="5" max="5" width="15.6640625" customWidth="1"/>
    <col min="6" max="6" width="16.33203125" customWidth="1"/>
    <col min="7" max="7" width="14.88671875" customWidth="1"/>
    <col min="8" max="8" width="16.5546875" customWidth="1"/>
    <col min="9" max="9" width="16.109375" customWidth="1"/>
    <col min="10" max="10" width="16.33203125" customWidth="1"/>
    <col min="11" max="11" width="15.77734375" customWidth="1"/>
    <col min="12" max="12" width="17.5546875" customWidth="1"/>
  </cols>
  <sheetData>
    <row r="4" spans="5:15" ht="15.6" x14ac:dyDescent="0.3">
      <c r="G4" s="6"/>
      <c r="H4" s="29" t="s">
        <v>125</v>
      </c>
      <c r="I4" s="29"/>
      <c r="J4" s="21"/>
      <c r="K4" s="21"/>
      <c r="L4" s="6"/>
      <c r="M4" s="6"/>
      <c r="N4" s="6"/>
      <c r="O4" s="6"/>
    </row>
    <row r="6" spans="5:15" ht="15.6" x14ac:dyDescent="0.3">
      <c r="E6" s="5" t="s">
        <v>104</v>
      </c>
      <c r="F6" s="19">
        <v>45658</v>
      </c>
      <c r="G6" s="19">
        <v>45659</v>
      </c>
      <c r="H6" s="19">
        <v>45660</v>
      </c>
      <c r="I6" s="19">
        <v>45661</v>
      </c>
      <c r="J6" s="19">
        <v>45662</v>
      </c>
      <c r="K6" s="19">
        <v>45663</v>
      </c>
      <c r="L6" s="19">
        <v>45664</v>
      </c>
      <c r="M6" s="8"/>
      <c r="N6" s="8"/>
      <c r="O6" s="8"/>
    </row>
    <row r="7" spans="5:15" ht="15.6" x14ac:dyDescent="0.3">
      <c r="E7" s="18" t="s">
        <v>105</v>
      </c>
      <c r="G7" s="15"/>
      <c r="H7" s="7"/>
      <c r="I7" s="7"/>
      <c r="J7" s="7"/>
      <c r="K7" s="7"/>
      <c r="L7" s="7"/>
      <c r="M7" s="7"/>
      <c r="N7" s="7"/>
      <c r="O7" s="7"/>
    </row>
    <row r="8" spans="5:15" ht="15.6" x14ac:dyDescent="0.3">
      <c r="E8" s="5" t="s">
        <v>51</v>
      </c>
      <c r="F8" s="8" t="s">
        <v>79</v>
      </c>
      <c r="G8" s="20" t="s">
        <v>79</v>
      </c>
      <c r="H8" s="8" t="s">
        <v>79</v>
      </c>
      <c r="I8" s="8" t="s">
        <v>87</v>
      </c>
      <c r="J8" s="8" t="s">
        <v>87</v>
      </c>
      <c r="K8" s="8" t="s">
        <v>87</v>
      </c>
      <c r="L8" s="8"/>
      <c r="M8" s="7"/>
      <c r="N8" s="7"/>
      <c r="O8" s="7"/>
    </row>
    <row r="9" spans="5:15" ht="15.6" x14ac:dyDescent="0.3">
      <c r="E9" s="5" t="s">
        <v>52</v>
      </c>
      <c r="F9" s="8"/>
      <c r="G9" s="20" t="s">
        <v>80</v>
      </c>
      <c r="H9" s="8" t="s">
        <v>80</v>
      </c>
      <c r="I9" s="8"/>
      <c r="J9" s="8"/>
      <c r="K9" s="8" t="s">
        <v>84</v>
      </c>
      <c r="L9" s="8" t="s">
        <v>84</v>
      </c>
      <c r="M9" s="7"/>
      <c r="N9" s="7"/>
      <c r="O9" s="7"/>
    </row>
    <row r="10" spans="5:15" ht="15.6" x14ac:dyDescent="0.3">
      <c r="E10" s="5" t="s">
        <v>53</v>
      </c>
      <c r="F10" s="8" t="s">
        <v>83</v>
      </c>
      <c r="G10" s="20" t="s">
        <v>83</v>
      </c>
      <c r="H10" s="8" t="s">
        <v>83</v>
      </c>
      <c r="I10" s="8"/>
      <c r="J10" s="8" t="s">
        <v>85</v>
      </c>
      <c r="K10" s="8" t="s">
        <v>85</v>
      </c>
      <c r="L10" s="8" t="s">
        <v>85</v>
      </c>
      <c r="M10" s="7"/>
      <c r="N10" s="7"/>
      <c r="O10" s="7"/>
    </row>
    <row r="11" spans="5:15" ht="15.6" x14ac:dyDescent="0.3">
      <c r="E11" s="5" t="s">
        <v>54</v>
      </c>
      <c r="F11" s="8" t="s">
        <v>82</v>
      </c>
      <c r="G11" s="20" t="s">
        <v>82</v>
      </c>
      <c r="H11" s="8" t="s">
        <v>82</v>
      </c>
      <c r="I11" s="8" t="s">
        <v>82</v>
      </c>
      <c r="J11" s="8" t="s">
        <v>82</v>
      </c>
      <c r="K11" s="8"/>
      <c r="L11" s="8"/>
    </row>
    <row r="12" spans="5:15" ht="15.6" x14ac:dyDescent="0.3">
      <c r="E12" s="5" t="s">
        <v>55</v>
      </c>
      <c r="F12" s="8"/>
      <c r="G12" s="8"/>
      <c r="H12" s="8"/>
      <c r="I12" s="8" t="s">
        <v>91</v>
      </c>
      <c r="J12" s="8" t="s">
        <v>91</v>
      </c>
      <c r="K12" s="8" t="s">
        <v>91</v>
      </c>
      <c r="L12" s="8"/>
    </row>
    <row r="14" spans="5:15" ht="15.6" x14ac:dyDescent="0.3">
      <c r="E14" s="18" t="s">
        <v>106</v>
      </c>
    </row>
    <row r="15" spans="5:15" ht="31.2" x14ac:dyDescent="0.3">
      <c r="E15" s="5" t="s">
        <v>107</v>
      </c>
      <c r="F15" s="8" t="s">
        <v>113</v>
      </c>
      <c r="G15" s="8" t="s">
        <v>113</v>
      </c>
      <c r="H15" s="8" t="s">
        <v>113</v>
      </c>
      <c r="I15" s="8"/>
      <c r="J15" s="8" t="s">
        <v>120</v>
      </c>
      <c r="K15" s="8" t="s">
        <v>120</v>
      </c>
      <c r="L15" s="8" t="s">
        <v>120</v>
      </c>
    </row>
    <row r="16" spans="5:15" ht="15.6" x14ac:dyDescent="0.3">
      <c r="E16" s="5" t="s">
        <v>108</v>
      </c>
      <c r="F16" s="8"/>
      <c r="G16" s="8"/>
      <c r="H16" s="8"/>
      <c r="I16" s="8" t="s">
        <v>114</v>
      </c>
      <c r="J16" s="8" t="s">
        <v>114</v>
      </c>
      <c r="K16" s="8" t="s">
        <v>114</v>
      </c>
      <c r="L16" s="8"/>
    </row>
    <row r="17" spans="5:12" ht="15.6" x14ac:dyDescent="0.3">
      <c r="E17" s="5" t="s">
        <v>109</v>
      </c>
      <c r="F17" s="8" t="s">
        <v>119</v>
      </c>
      <c r="G17" s="8" t="s">
        <v>119</v>
      </c>
      <c r="H17" s="8" t="s">
        <v>119</v>
      </c>
      <c r="I17" s="8" t="s">
        <v>119</v>
      </c>
      <c r="J17" s="8" t="s">
        <v>119</v>
      </c>
      <c r="K17" s="8"/>
      <c r="L17" s="8"/>
    </row>
    <row r="18" spans="5:12" ht="31.2" x14ac:dyDescent="0.3">
      <c r="E18" s="5" t="s">
        <v>110</v>
      </c>
      <c r="F18" s="8"/>
      <c r="G18" s="8"/>
      <c r="H18" s="8" t="s">
        <v>123</v>
      </c>
      <c r="I18" s="8" t="s">
        <v>123</v>
      </c>
      <c r="J18" s="8"/>
      <c r="K18" s="8" t="s">
        <v>117</v>
      </c>
      <c r="L18" s="8" t="s">
        <v>117</v>
      </c>
    </row>
    <row r="19" spans="5:12" ht="15.6" x14ac:dyDescent="0.3">
      <c r="E19" s="5" t="s">
        <v>111</v>
      </c>
      <c r="F19" s="8" t="s">
        <v>118</v>
      </c>
      <c r="G19" s="8" t="s">
        <v>118</v>
      </c>
      <c r="H19" s="8" t="s">
        <v>118</v>
      </c>
      <c r="I19" s="8"/>
      <c r="J19" s="8"/>
      <c r="K19" s="8"/>
      <c r="L19" s="8"/>
    </row>
    <row r="20" spans="5:12" ht="15.6" x14ac:dyDescent="0.3">
      <c r="E20" s="5" t="s">
        <v>112</v>
      </c>
      <c r="F20" s="8"/>
      <c r="G20" s="8"/>
      <c r="H20" s="8"/>
      <c r="I20" s="8" t="s">
        <v>121</v>
      </c>
      <c r="J20" s="8" t="s">
        <v>121</v>
      </c>
      <c r="K20" s="8" t="s">
        <v>121</v>
      </c>
      <c r="L20" s="8" t="s">
        <v>121</v>
      </c>
    </row>
  </sheetData>
  <mergeCells count="1">
    <mergeCell ref="H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19"/>
  <sheetViews>
    <sheetView workbookViewId="0">
      <selection activeCell="C7" sqref="C7"/>
    </sheetView>
  </sheetViews>
  <sheetFormatPr defaultRowHeight="14.4" x14ac:dyDescent="0.3"/>
  <cols>
    <col min="4" max="4" width="11.88671875" customWidth="1"/>
    <col min="5" max="6" width="12.6640625" customWidth="1"/>
    <col min="9" max="9" width="11.6640625" customWidth="1"/>
    <col min="10" max="10" width="11.109375" customWidth="1"/>
    <col min="11" max="11" width="13.109375" customWidth="1"/>
  </cols>
  <sheetData>
    <row r="2" spans="4:12" ht="24" customHeight="1" x14ac:dyDescent="0.3">
      <c r="D2" s="30" t="s">
        <v>129</v>
      </c>
      <c r="E2" s="30"/>
      <c r="F2" s="30"/>
    </row>
    <row r="3" spans="4:12" ht="33" customHeight="1" x14ac:dyDescent="0.3">
      <c r="D3" s="5" t="s">
        <v>130</v>
      </c>
      <c r="E3" s="5" t="s">
        <v>133</v>
      </c>
      <c r="F3" s="5" t="s">
        <v>137</v>
      </c>
      <c r="L3" s="2"/>
    </row>
    <row r="4" spans="4:12" ht="15.6" x14ac:dyDescent="0.3">
      <c r="D4" s="8" t="s">
        <v>5</v>
      </c>
      <c r="E4" s="8" t="s">
        <v>131</v>
      </c>
      <c r="F4" s="8">
        <v>2400</v>
      </c>
    </row>
    <row r="5" spans="4:12" ht="15.6" x14ac:dyDescent="0.3">
      <c r="D5" s="8" t="s">
        <v>6</v>
      </c>
      <c r="E5" s="8" t="s">
        <v>131</v>
      </c>
      <c r="F5" s="8">
        <v>3000</v>
      </c>
    </row>
    <row r="6" spans="4:12" ht="15.6" x14ac:dyDescent="0.3">
      <c r="D6" s="8" t="s">
        <v>7</v>
      </c>
      <c r="E6" s="8" t="s">
        <v>131</v>
      </c>
      <c r="F6" s="8">
        <v>4400</v>
      </c>
    </row>
    <row r="7" spans="4:12" ht="15.6" x14ac:dyDescent="0.3">
      <c r="D7" s="8" t="s">
        <v>8</v>
      </c>
      <c r="E7" s="8" t="s">
        <v>131</v>
      </c>
      <c r="F7" s="8">
        <v>2880</v>
      </c>
    </row>
    <row r="8" spans="4:12" ht="15.6" x14ac:dyDescent="0.3">
      <c r="D8" s="8" t="s">
        <v>9</v>
      </c>
      <c r="E8" s="8" t="s">
        <v>131</v>
      </c>
      <c r="F8" s="8">
        <v>2250</v>
      </c>
    </row>
    <row r="9" spans="4:12" ht="15.6" x14ac:dyDescent="0.3">
      <c r="D9" s="8" t="s">
        <v>10</v>
      </c>
      <c r="E9" s="8" t="s">
        <v>131</v>
      </c>
      <c r="F9" s="8">
        <v>1980</v>
      </c>
    </row>
    <row r="10" spans="4:12" ht="15.6" x14ac:dyDescent="0.3">
      <c r="D10" s="8" t="s">
        <v>51</v>
      </c>
      <c r="E10" s="8" t="s">
        <v>132</v>
      </c>
      <c r="F10" s="8">
        <v>1440</v>
      </c>
    </row>
    <row r="11" spans="4:12" ht="15.6" x14ac:dyDescent="0.3">
      <c r="D11" s="8" t="s">
        <v>52</v>
      </c>
      <c r="E11" s="8" t="s">
        <v>132</v>
      </c>
      <c r="F11" s="8">
        <v>1500</v>
      </c>
    </row>
    <row r="12" spans="4:12" ht="15.6" x14ac:dyDescent="0.3">
      <c r="D12" s="8" t="s">
        <v>53</v>
      </c>
      <c r="E12" s="8" t="s">
        <v>132</v>
      </c>
      <c r="F12" s="8">
        <v>3330</v>
      </c>
    </row>
    <row r="13" spans="4:12" ht="15.6" x14ac:dyDescent="0.3">
      <c r="D13" s="8" t="s">
        <v>54</v>
      </c>
      <c r="E13" s="8" t="s">
        <v>132</v>
      </c>
      <c r="F13" s="8">
        <v>2250</v>
      </c>
    </row>
    <row r="14" spans="4:12" ht="15.6" x14ac:dyDescent="0.3">
      <c r="D14" s="8" t="s">
        <v>55</v>
      </c>
      <c r="E14" s="8" t="s">
        <v>132</v>
      </c>
      <c r="F14" s="8">
        <v>3360</v>
      </c>
    </row>
    <row r="16" spans="4:12" ht="15.6" x14ac:dyDescent="0.3">
      <c r="E16" s="8" t="s">
        <v>99</v>
      </c>
      <c r="F16" s="3">
        <f>SUM(F4:F14)</f>
        <v>28790</v>
      </c>
    </row>
    <row r="17" spans="4:11" ht="15.6" x14ac:dyDescent="0.3">
      <c r="J17" s="5"/>
      <c r="K17" s="5"/>
    </row>
    <row r="18" spans="4:11" ht="28.8" customHeight="1" x14ac:dyDescent="0.3">
      <c r="D18" s="22" t="s">
        <v>139</v>
      </c>
      <c r="E18" s="8">
        <f>SUM(F4:F9)</f>
        <v>16910</v>
      </c>
    </row>
    <row r="19" spans="4:11" ht="26.4" customHeight="1" x14ac:dyDescent="0.3">
      <c r="D19" s="22" t="s">
        <v>140</v>
      </c>
      <c r="E19" s="8">
        <f>SUM(F10:F14)</f>
        <v>11880</v>
      </c>
    </row>
  </sheetData>
  <mergeCells count="1">
    <mergeCell ref="D2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P-Raw</vt:lpstr>
      <vt:lpstr>P-Booking</vt:lpstr>
      <vt:lpstr>P-Summary</vt:lpstr>
      <vt:lpstr>R-Raw</vt:lpstr>
      <vt:lpstr>R-Booking</vt:lpstr>
      <vt:lpstr>R-Summary</vt:lpstr>
      <vt:lpstr>P-R-Schedule</vt:lpstr>
      <vt:lpstr>Total-Revenue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2026-01-02T11:48:42Z</dcterms:created>
  <dcterms:modified xsi:type="dcterms:W3CDTF">2026-01-06T13:08:32Z</dcterms:modified>
</cp:coreProperties>
</file>